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00_プロジェクト概要" sheetId="1" state="visible" r:id="rId3"/>
    <sheet name="01_要求一覧" sheetId="2" state="visible" r:id="rId4"/>
    <sheet name="02_仕様書索引" sheetId="3" state="visible" r:id="rId5"/>
    <sheet name="03_WBSスケジュール" sheetId="4" state="visible" r:id="rId6"/>
    <sheet name="04_見積実績_過去機種" sheetId="5" state="visible" r:id="rId7"/>
    <sheet name="05_見積_新規案件" sheetId="6" state="visible" r:id="rId8"/>
    <sheet name="06_不具合票_過去機種" sheetId="7" state="visible" r:id="rId9"/>
    <sheet name="07_テストケース一覧" sheetId="8" state="visible" r:id="rId10"/>
    <sheet name="08_トレーサビリティ"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<sst xmlns="http://schemas.openxmlformats.org/spreadsheetml/2006/main" count="714" uniqueCount="425">
  <si>
    <t xml:space="preserve">仮想プロジェクトデータセット</t>
  </si>
  <si>
    <r>
      <rPr>
        <i val="true"/>
        <sz val="9"/>
        <color rgb="FF6B7280"/>
        <rFont val="Arial"/>
        <family val="2"/>
        <charset val="1"/>
      </rPr>
      <t xml:space="preserve">Ambient Experience Controller(AEC)</t>
    </r>
    <r>
      <rPr>
        <i val="true"/>
        <sz val="9"/>
        <color rgb="FF6B7280"/>
        <rFont val="Noto Sans CJK SC"/>
        <family val="2"/>
      </rPr>
      <t xml:space="preserve">開発プロジェクト</t>
    </r>
    <r>
      <rPr>
        <i val="true"/>
        <sz val="9"/>
        <color rgb="FF6B7280"/>
        <rFont val="Arial"/>
        <family val="2"/>
        <charset val="1"/>
      </rPr>
      <t xml:space="preserve">(</t>
    </r>
    <r>
      <rPr>
        <i val="true"/>
        <sz val="9"/>
        <color rgb="FF6B7280"/>
        <rFont val="Noto Sans CJK SC"/>
        <family val="2"/>
      </rPr>
      <t xml:space="preserve">架空データ・</t>
    </r>
    <r>
      <rPr>
        <i val="true"/>
        <sz val="9"/>
        <color rgb="FF6B7280"/>
        <rFont val="Arial"/>
        <family val="2"/>
        <charset val="1"/>
      </rPr>
      <t xml:space="preserve">AI</t>
    </r>
    <r>
      <rPr>
        <i val="true"/>
        <sz val="9"/>
        <color rgb="FF6B7280"/>
        <rFont val="Noto Sans CJK SC"/>
        <family val="2"/>
      </rPr>
      <t xml:space="preserve">ポートフォリオ用ケーススタディ</t>
    </r>
    <r>
      <rPr>
        <i val="true"/>
        <sz val="9"/>
        <color rgb="FF6B7280"/>
        <rFont val="Arial"/>
        <family val="2"/>
        <charset val="1"/>
      </rPr>
      <t xml:space="preserve">)</t>
    </r>
  </si>
  <si>
    <t xml:space="preserve">注記</t>
  </si>
  <si>
    <t xml:space="preserve">本データセットは実在の企業・車種・案件とは一切関係のない架空のケーススタディです。本人の実務経験領域(ボディ電装系)との重なりを避けるため、題材は「パーソナル環境演出」という新規性の高い架空ECUとしています。信号表&amp;制御仕様とGUI仕様の不整合という、実務で頻発する課題を主眼に構成しています。</t>
  </si>
  <si>
    <t xml:space="preserve">項目</t>
  </si>
  <si>
    <t xml:space="preserve">内容</t>
  </si>
  <si>
    <t xml:space="preserve">プロジェクト名</t>
  </si>
  <si>
    <r>
      <rPr>
        <sz val="10"/>
        <rFont val="Arial"/>
        <family val="2"/>
        <charset val="1"/>
      </rPr>
      <t xml:space="preserve">Ambient Experience Controller(AEC)</t>
    </r>
    <r>
      <rPr>
        <sz val="10"/>
        <rFont val="Noto Sans CJK SC"/>
        <family val="2"/>
      </rPr>
      <t xml:space="preserve">開発プロジェクト</t>
    </r>
  </si>
  <si>
    <t xml:space="preserve">架空会社名</t>
  </si>
  <si>
    <t xml:space="preserve">ジャンパオートモーティブ株式会社(架空)</t>
  </si>
  <si>
    <t xml:space="preserve">対象車両</t>
  </si>
  <si>
    <t xml:space="preserve">架空コンセプトカー「Concept AEC」(量産前提のない技術実証・展示車両という位置づけ)</t>
  </si>
  <si>
    <t xml:space="preserve">対象ECU</t>
  </si>
  <si>
    <r>
      <rPr>
        <sz val="10"/>
        <rFont val="Arial"/>
        <family val="2"/>
        <charset val="1"/>
      </rPr>
      <t xml:space="preserve">AEC(Ambient Experience Controller) PoC</t>
    </r>
    <r>
      <rPr>
        <sz val="10"/>
        <rFont val="Noto Sans CJK SC"/>
        <family val="2"/>
      </rPr>
      <t xml:space="preserve">評価ボード </t>
    </r>
    <r>
      <rPr>
        <sz val="10"/>
        <rFont val="Arial"/>
        <family val="2"/>
        <charset val="1"/>
      </rPr>
      <t xml:space="preserve">Rev.0(</t>
    </r>
    <r>
      <rPr>
        <sz val="10"/>
        <rFont val="Noto Sans CJK SC"/>
        <family val="2"/>
      </rPr>
      <t xml:space="preserve">非量産・ベンチ試作機</t>
    </r>
    <r>
      <rPr>
        <sz val="10"/>
        <rFont val="Arial"/>
        <family val="2"/>
        <charset val="1"/>
      </rPr>
      <t xml:space="preserve">)</t>
    </r>
  </si>
  <si>
    <t xml:space="preserve">プロジェクト種別</t>
  </si>
  <si>
    <t xml:space="preserve">新規ECU開発 → PoC(概念実証)評価ボードによる先行機能検証(車両搭載を前提としないベンチ試作)</t>
  </si>
  <si>
    <t xml:space="preserve">開発期間</t>
  </si>
  <si>
    <r>
      <rPr>
        <sz val="10"/>
        <rFont val="Arial"/>
        <family val="2"/>
        <charset val="1"/>
      </rPr>
      <t xml:space="preserve">2024</t>
    </r>
    <r>
      <rPr>
        <sz val="10"/>
        <rFont val="Noto Sans CJK SC"/>
        <family val="2"/>
      </rPr>
      <t xml:space="preserve">年</t>
    </r>
    <r>
      <rPr>
        <sz val="10"/>
        <rFont val="Arial"/>
        <family val="2"/>
        <charset val="1"/>
      </rPr>
      <t xml:space="preserve">4</t>
    </r>
    <r>
      <rPr>
        <sz val="10"/>
        <rFont val="Noto Sans CJK SC"/>
        <family val="2"/>
      </rPr>
      <t xml:space="preserve">月 〜 </t>
    </r>
    <r>
      <rPr>
        <sz val="10"/>
        <rFont val="Arial"/>
        <family val="2"/>
        <charset val="1"/>
      </rPr>
      <t xml:space="preserve">2025</t>
    </r>
    <r>
      <rPr>
        <sz val="10"/>
        <rFont val="Noto Sans CJK SC"/>
        <family val="2"/>
      </rPr>
      <t xml:space="preserve">年</t>
    </r>
    <r>
      <rPr>
        <sz val="10"/>
        <rFont val="Arial"/>
        <family val="2"/>
        <charset val="1"/>
      </rPr>
      <t xml:space="preserve">9</t>
    </r>
    <r>
      <rPr>
        <sz val="10"/>
        <rFont val="Noto Sans CJK SC"/>
        <family val="2"/>
      </rPr>
      <t xml:space="preserve">月</t>
    </r>
    <r>
      <rPr>
        <sz val="10"/>
        <rFont val="Arial"/>
        <family val="2"/>
        <charset val="1"/>
      </rPr>
      <t xml:space="preserve">(</t>
    </r>
    <r>
      <rPr>
        <sz val="10"/>
        <rFont val="Noto Sans CJK SC"/>
        <family val="2"/>
      </rPr>
      <t xml:space="preserve">展示車両完成</t>
    </r>
    <r>
      <rPr>
        <sz val="10"/>
        <rFont val="Arial"/>
        <family val="2"/>
        <charset val="1"/>
      </rPr>
      <t xml:space="preserve">:2025</t>
    </r>
    <r>
      <rPr>
        <sz val="10"/>
        <rFont val="Noto Sans CJK SC"/>
        <family val="2"/>
      </rPr>
      <t xml:space="preserve">年</t>
    </r>
    <r>
      <rPr>
        <sz val="10"/>
        <rFont val="Arial"/>
        <family val="2"/>
        <charset val="1"/>
      </rPr>
      <t xml:space="preserve">10</t>
    </r>
    <r>
      <rPr>
        <sz val="10"/>
        <rFont val="Noto Sans CJK SC"/>
        <family val="2"/>
      </rPr>
      <t xml:space="preserve">月予定</t>
    </r>
    <r>
      <rPr>
        <sz val="10"/>
        <rFont val="Arial"/>
        <family val="2"/>
        <charset val="1"/>
      </rPr>
      <t xml:space="preserve">)</t>
    </r>
  </si>
  <si>
    <t xml:space="preserve">主要機能スコープ</t>
  </si>
  <si>
    <t xml:space="preserve">生体反応推定(気分スコア)/シーンプリセット制御(Calm・Focus・Refresh等)/簡易LEDによるアンビエント発光(将来的な車両アンビエントライト制御の代替出力)/香り拡散(内蔵ファン+カートリッジ)/BGM制御/空調連携/センターディスプレイ(HMI)によるモニタリング・手動オーバーライド。車両外装への連携は将来スコープとし、本PoCでは対象外</t>
  </si>
  <si>
    <t xml:space="preserve">開発体制</t>
  </si>
  <si>
    <r>
      <rPr>
        <sz val="10"/>
        <rFont val="Arial"/>
        <family val="2"/>
        <charset val="1"/>
      </rPr>
      <t xml:space="preserve">PM 1</t>
    </r>
    <r>
      <rPr>
        <sz val="10"/>
        <rFont val="Noto Sans CJK SC"/>
        <family val="2"/>
      </rPr>
      <t xml:space="preserve">名、</t>
    </r>
    <r>
      <rPr>
        <sz val="10"/>
        <rFont val="Arial"/>
        <family val="2"/>
        <charset val="1"/>
      </rPr>
      <t xml:space="preserve">PMO 1</t>
    </r>
    <r>
      <rPr>
        <sz val="10"/>
        <rFont val="Noto Sans CJK SC"/>
        <family val="2"/>
      </rPr>
      <t xml:space="preserve">名、電装設計</t>
    </r>
    <r>
      <rPr>
        <sz val="10"/>
        <rFont val="Arial"/>
        <family val="2"/>
        <charset val="1"/>
      </rPr>
      <t xml:space="preserve">(</t>
    </r>
    <r>
      <rPr>
        <sz val="10"/>
        <rFont val="Noto Sans CJK SC"/>
        <family val="2"/>
      </rPr>
      <t xml:space="preserve">信号・制御担当</t>
    </r>
    <r>
      <rPr>
        <sz val="10"/>
        <rFont val="Arial"/>
        <family val="2"/>
        <charset val="1"/>
      </rPr>
      <t xml:space="preserve">)4</t>
    </r>
    <r>
      <rPr>
        <sz val="10"/>
        <rFont val="Noto Sans CJK SC"/>
        <family val="2"/>
      </rPr>
      <t xml:space="preserve">名、</t>
    </r>
    <r>
      <rPr>
        <sz val="10"/>
        <rFont val="Arial"/>
        <family val="2"/>
        <charset val="1"/>
      </rPr>
      <t xml:space="preserve">HMI/GUI</t>
    </r>
    <r>
      <rPr>
        <sz val="10"/>
        <rFont val="Noto Sans CJK SC"/>
        <family val="2"/>
      </rPr>
      <t xml:space="preserve">デザイン担当 </t>
    </r>
    <r>
      <rPr>
        <sz val="10"/>
        <rFont val="Arial"/>
        <family val="2"/>
        <charset val="1"/>
      </rPr>
      <t xml:space="preserve">3</t>
    </r>
    <r>
      <rPr>
        <sz val="10"/>
        <rFont val="Noto Sans CJK SC"/>
        <family val="2"/>
      </rPr>
      <t xml:space="preserve">名、ソフト実装 </t>
    </r>
    <r>
      <rPr>
        <sz val="10"/>
        <rFont val="Arial"/>
        <family val="2"/>
        <charset val="1"/>
      </rPr>
      <t xml:space="preserve">7</t>
    </r>
    <r>
      <rPr>
        <sz val="10"/>
        <rFont val="Noto Sans CJK SC"/>
        <family val="2"/>
      </rPr>
      <t xml:space="preserve">名、評価・試験 </t>
    </r>
    <r>
      <rPr>
        <sz val="10"/>
        <rFont val="Arial"/>
        <family val="2"/>
        <charset val="1"/>
      </rPr>
      <t xml:space="preserve">4</t>
    </r>
    <r>
      <rPr>
        <sz val="10"/>
        <rFont val="Noto Sans CJK SC"/>
        <family val="2"/>
      </rPr>
      <t xml:space="preserve">名、サプライヤ</t>
    </r>
    <r>
      <rPr>
        <sz val="10"/>
        <rFont val="Arial"/>
        <family val="2"/>
        <charset val="1"/>
      </rPr>
      <t xml:space="preserve">(</t>
    </r>
    <r>
      <rPr>
        <sz val="10"/>
        <rFont val="Noto Sans CJK SC"/>
        <family val="2"/>
      </rPr>
      <t xml:space="preserve">香りユニット</t>
    </r>
    <r>
      <rPr>
        <sz val="10"/>
        <rFont val="Arial"/>
        <family val="2"/>
        <charset val="1"/>
      </rPr>
      <t xml:space="preserve">/</t>
    </r>
    <r>
      <rPr>
        <sz val="10"/>
        <rFont val="Noto Sans CJK SC"/>
        <family val="2"/>
      </rPr>
      <t xml:space="preserve">照明ユニット各</t>
    </r>
    <r>
      <rPr>
        <sz val="10"/>
        <rFont val="Arial"/>
        <family val="2"/>
        <charset val="1"/>
      </rPr>
      <t xml:space="preserve">1</t>
    </r>
    <r>
      <rPr>
        <sz val="10"/>
        <rFont val="Noto Sans CJK SC"/>
        <family val="2"/>
      </rPr>
      <t xml:space="preserve">社</t>
    </r>
    <r>
      <rPr>
        <sz val="10"/>
        <rFont val="Arial"/>
        <family val="2"/>
        <charset val="1"/>
      </rPr>
      <t xml:space="preserve">)</t>
    </r>
  </si>
  <si>
    <t xml:space="preserve">参照過去機種</t>
  </si>
  <si>
    <t xml:space="preserve">先行試作機「Concept AEC-Pilot」(2022年、簡易プロトタイプ)/姉妹プロジェクト「Concept Serenity」(2023年、香り機能のみの単機能試作)</t>
  </si>
  <si>
    <t xml:space="preserve">本データセットの用途</t>
  </si>
  <si>
    <t xml:space="preserve">②仕様書間矛盾解析エージェント(信号表&amp;制御仕様 vs GUI仕様の不整合検知)/⑦見積もりロジックのスキル化/⑩トレーサビリティ管理ツール のデモ共通基盤</t>
  </si>
  <si>
    <t xml:space="preserve">■ 本ブックのシート構成</t>
  </si>
  <si>
    <t xml:space="preserve">・01_要求一覧</t>
  </si>
  <si>
    <t xml:space="preserve">本プロジェクトの機能要求一覧(REQ-ID付き)</t>
  </si>
  <si>
    <t xml:space="preserve">・02_仕様書索引</t>
  </si>
  <si>
    <t xml:space="preserve">要求に紐づく仕様書の一覧。信号表&amp;制御仕様とGUI仕様を作成部門ごとに分けて管理している点がポイント</t>
  </si>
  <si>
    <t xml:space="preserve">・03_WBSスケジュール</t>
  </si>
  <si>
    <t xml:space="preserve">工程別タスクとガントデータ(開始日・終了日・進捗)</t>
  </si>
  <si>
    <t xml:space="preserve">・04_見積もり実績_過去機種</t>
  </si>
  <si>
    <t xml:space="preserve">過去試作機の類似機能における見積工数と実績工数の比較データ。⑦のデモ基盤</t>
  </si>
  <si>
    <t xml:space="preserve">・05_見積もり_新規案件</t>
  </si>
  <si>
    <t xml:space="preserve">本プロジェクトの新規見積り(過去実績を参照した妥当性チェック列付き)</t>
  </si>
  <si>
    <t xml:space="preserve">・06_不具合票_過去機種</t>
  </si>
  <si>
    <t xml:space="preserve">過去試作機で発生した不具合の一覧。信号表とGUI仕様の不整合に起因する不具合を含む</t>
  </si>
  <si>
    <t xml:space="preserve">・07_テストケース一覧</t>
  </si>
  <si>
    <t xml:space="preserve">本プロジェクトのテストケース一覧(TC-ID付き)</t>
  </si>
  <si>
    <t xml:space="preserve">・08_トレーサビリティ</t>
  </si>
  <si>
    <t xml:space="preserve">要求ID⇔仕様書セクション⇔テストケースIDの3点トレースマトリクス。⑩のデモ基盤</t>
  </si>
  <si>
    <t xml:space="preserve">要求一覧</t>
  </si>
  <si>
    <r>
      <rPr>
        <i val="true"/>
        <sz val="9"/>
        <color rgb="FF6B7280"/>
        <rFont val="Arial"/>
        <family val="2"/>
        <charset val="1"/>
      </rPr>
      <t xml:space="preserve">AEC </t>
    </r>
    <r>
      <rPr>
        <i val="true"/>
        <sz val="9"/>
        <color rgb="FF6B7280"/>
        <rFont val="Noto Sans CJK SC"/>
        <family val="2"/>
      </rPr>
      <t xml:space="preserve">機能要求</t>
    </r>
    <r>
      <rPr>
        <i val="true"/>
        <sz val="9"/>
        <color rgb="FF6B7280"/>
        <rFont val="Arial"/>
        <family val="2"/>
        <charset val="1"/>
      </rPr>
      <t xml:space="preserve">(REQ-ID)</t>
    </r>
  </si>
  <si>
    <t xml:space="preserve">要求ID</t>
  </si>
  <si>
    <t xml:space="preserve">カテゴリ</t>
  </si>
  <si>
    <t xml:space="preserve">要求内容</t>
  </si>
  <si>
    <t xml:space="preserve">優先度</t>
  </si>
  <si>
    <t xml:space="preserve">起票部門</t>
  </si>
  <si>
    <t xml:space="preserve">起票日</t>
  </si>
  <si>
    <t xml:space="preserve">関連仕様書ID</t>
  </si>
  <si>
    <t xml:space="preserve">備考</t>
  </si>
  <si>
    <t xml:space="preserve">REQ-001</t>
  </si>
  <si>
    <t xml:space="preserve">気分推定</t>
  </si>
  <si>
    <t xml:space="preserve">心拍・皮膚電位センサーの信号から乗員の気分スコア(0-100)を算出すること</t>
  </si>
  <si>
    <t xml:space="preserve">必須</t>
  </si>
  <si>
    <t xml:space="preserve">電装設計</t>
  </si>
  <si>
    <t xml:space="preserve">2024-04-10</t>
  </si>
  <si>
    <t xml:space="preserve">SPEC-SIG-001</t>
  </si>
  <si>
    <t xml:space="preserve">REQ-002</t>
  </si>
  <si>
    <t xml:space="preserve">表情認識カメラの結果を気分スコアに重み付け統合すること</t>
  </si>
  <si>
    <t xml:space="preserve">推奨</t>
  </si>
  <si>
    <t xml:space="preserve">REQ-003</t>
  </si>
  <si>
    <t xml:space="preserve">シーン制御</t>
  </si>
  <si>
    <t xml:space="preserve">気分スコアに応じてCalm/Focus/Refreshの3シーンを自動選択すること</t>
  </si>
  <si>
    <t xml:space="preserve">商品企画</t>
  </si>
  <si>
    <t xml:space="preserve">2024-04-15</t>
  </si>
  <si>
    <t xml:space="preserve">SPEC-SIG-002</t>
  </si>
  <si>
    <t xml:space="preserve">REQ-004</t>
  </si>
  <si>
    <t xml:space="preserve">乗員はディスプレイ上でシーンを手動選択・上書きできること</t>
  </si>
  <si>
    <t xml:space="preserve">SPEC-GUI-001</t>
  </si>
  <si>
    <t xml:space="preserve">REQ-005</t>
  </si>
  <si>
    <t xml:space="preserve">アンビエントライト</t>
  </si>
  <si>
    <t xml:space="preserve">シーンに応じて車内照明の色・明るさを自動制御すること</t>
  </si>
  <si>
    <t xml:space="preserve">2024-04-20</t>
  </si>
  <si>
    <t xml:space="preserve">SPEC-SIG-003</t>
  </si>
  <si>
    <t xml:space="preserve">REQ-006</t>
  </si>
  <si>
    <t xml:space="preserve">ディスプレイ上に現在の照明色をカラースウォッチで表示すること</t>
  </si>
  <si>
    <t xml:space="preserve">HMI/GUI</t>
  </si>
  <si>
    <t xml:space="preserve">SPEC-GUI-002</t>
  </si>
  <si>
    <t xml:space="preserve">REQ-007</t>
  </si>
  <si>
    <t xml:space="preserve">香り演出</t>
  </si>
  <si>
    <t xml:space="preserve">シーンに応じて香りカートリッジを選択し、車内空調(HVAC)と連携して車内(キャビン)に4段階で拡散・強度制御すること(車外への放出は対象外)</t>
  </si>
  <si>
    <t xml:space="preserve">2024-04-25</t>
  </si>
  <si>
    <t xml:space="preserve">SPEC-CTRL-004</t>
  </si>
  <si>
    <t xml:space="preserve">REQ-008</t>
  </si>
  <si>
    <t xml:space="preserve">ディスプレイ上で香り強度をスライダー表示・手動調整できること</t>
  </si>
  <si>
    <t xml:space="preserve">SPEC-GUI-003</t>
  </si>
  <si>
    <t xml:space="preserve">REQ-009</t>
  </si>
  <si>
    <t xml:space="preserve">アレルギー等の理由で香り機能を完全にOFFにできること(安全側フォールバック)</t>
  </si>
  <si>
    <t xml:space="preserve">安全設計</t>
  </si>
  <si>
    <t xml:space="preserve">2024-05-01</t>
  </si>
  <si>
    <t xml:space="preserve">安全要求</t>
  </si>
  <si>
    <t xml:space="preserve">REQ-010</t>
  </si>
  <si>
    <r>
      <rPr>
        <sz val="10"/>
        <rFont val="Arial"/>
        <family val="2"/>
        <charset val="1"/>
      </rPr>
      <t xml:space="preserve">BGM</t>
    </r>
    <r>
      <rPr>
        <sz val="10"/>
        <rFont val="Noto Sans CJK SC"/>
        <family val="2"/>
      </rPr>
      <t xml:space="preserve">制御</t>
    </r>
  </si>
  <si>
    <t xml:space="preserve">シーンに応じたアンビエントBGMを自動選曲・再生すること</t>
  </si>
  <si>
    <t xml:space="preserve">2024-05-05</t>
  </si>
  <si>
    <t xml:space="preserve">SPEC-SIG-005</t>
  </si>
  <si>
    <t xml:space="preserve">REQ-011</t>
  </si>
  <si>
    <t xml:space="preserve">空調連携</t>
  </si>
  <si>
    <t xml:space="preserve">シーンに応じて空調の温度・風量をわずかに調整すること(既存空調ECUへの制御要求送信)</t>
  </si>
  <si>
    <t xml:space="preserve">2024-05-10</t>
  </si>
  <si>
    <t xml:space="preserve">SPEC-SIG-006</t>
  </si>
  <si>
    <t xml:space="preserve">REQ-012</t>
  </si>
  <si>
    <t xml:space="preserve">外装連携</t>
  </si>
  <si>
    <t xml:space="preserve">(将来スコープ)車内シーンに連動し、外装アンビエントライトの発光色を変更すること</t>
  </si>
  <si>
    <t xml:space="preserve">将来スコープ</t>
  </si>
  <si>
    <t xml:space="preserve">2024-05-15</t>
  </si>
  <si>
    <t xml:space="preserve">本PoCでは対象外。車両搭載後の将来検討事項として保留(乗員の感情情報を車外に開示するプライバシー上の懸念があるため、採用時は表現内容を要検討)</t>
  </si>
  <si>
    <t xml:space="preserve">REQ-013</t>
  </si>
  <si>
    <r>
      <rPr>
        <sz val="10"/>
        <rFont val="Arial"/>
        <family val="2"/>
        <charset val="1"/>
      </rPr>
      <t xml:space="preserve">HMI</t>
    </r>
    <r>
      <rPr>
        <sz val="10"/>
        <rFont val="Noto Sans CJK SC"/>
        <family val="2"/>
      </rPr>
      <t xml:space="preserve">表示</t>
    </r>
  </si>
  <si>
    <t xml:space="preserve">現在のシーン名・気分スコア・各アクチュエータの状態を1画面に集約表示すること</t>
  </si>
  <si>
    <t xml:space="preserve">2024-05-20</t>
  </si>
  <si>
    <t xml:space="preserve">REQ-014</t>
  </si>
  <si>
    <t xml:space="preserve">多言語(日・英・中)でシーン名・設定項目名を表示できること</t>
  </si>
  <si>
    <t xml:space="preserve">海外事業部</t>
  </si>
  <si>
    <t xml:space="preserve">SPEC-GUI-004</t>
  </si>
  <si>
    <t xml:space="preserve">REQ-015</t>
  </si>
  <si>
    <t xml:space="preserve">診断/ログ</t>
  </si>
  <si>
    <t xml:space="preserve">気分推定ロジックの入出力値を診断ログとして記録できること(チューニング用)</t>
  </si>
  <si>
    <t xml:space="preserve">2024-05-25</t>
  </si>
  <si>
    <t xml:space="preserve">SPEC-SIG-007</t>
  </si>
  <si>
    <t xml:space="preserve">REQ-016</t>
  </si>
  <si>
    <t xml:space="preserve">香り拡散ユニットは連続稼働30分ごとに強制休止し、過剰噴霧を防止すること</t>
  </si>
  <si>
    <t xml:space="preserve">REQ-017</t>
  </si>
  <si>
    <t xml:space="preserve">ジェスチャー操作</t>
  </si>
  <si>
    <r>
      <rPr>
        <sz val="10"/>
        <rFont val="Arial"/>
        <family val="2"/>
        <charset val="1"/>
      </rPr>
      <t xml:space="preserve">A</t>
    </r>
    <r>
      <rPr>
        <sz val="10"/>
        <rFont val="Noto Sans CJK SC"/>
        <family val="2"/>
      </rPr>
      <t xml:space="preserve">ピラー付近のジェスチャーセンサーで簡易操作</t>
    </r>
    <r>
      <rPr>
        <sz val="10"/>
        <rFont val="Arial"/>
        <family val="2"/>
        <charset val="1"/>
      </rPr>
      <t xml:space="preserve">(</t>
    </r>
    <r>
      <rPr>
        <sz val="10"/>
        <rFont val="Noto Sans CJK SC"/>
        <family val="2"/>
      </rPr>
      <t xml:space="preserve">承認</t>
    </r>
    <r>
      <rPr>
        <sz val="10"/>
        <rFont val="Arial"/>
        <family val="2"/>
        <charset val="1"/>
      </rPr>
      <t xml:space="preserve">/</t>
    </r>
    <r>
      <rPr>
        <sz val="10"/>
        <rFont val="Noto Sans CJK SC"/>
        <family val="2"/>
      </rPr>
      <t xml:space="preserve">却下</t>
    </r>
    <r>
      <rPr>
        <sz val="10"/>
        <rFont val="Arial"/>
        <family val="2"/>
        <charset val="1"/>
      </rPr>
      <t xml:space="preserve">)</t>
    </r>
    <r>
      <rPr>
        <sz val="10"/>
        <rFont val="Noto Sans CJK SC"/>
        <family val="2"/>
      </rPr>
      <t xml:space="preserve">ができること</t>
    </r>
  </si>
  <si>
    <t xml:space="preserve">2024-06-01</t>
  </si>
  <si>
    <t xml:space="preserve">SPEC-GUI-005</t>
  </si>
  <si>
    <t xml:space="preserve">仕様書索引</t>
  </si>
  <si>
    <t xml:space="preserve">信号表&amp;制御仕様(電装設計担当)とGUI仕様(HMI/GUIデザイン担当)を分けて管理</t>
  </si>
  <si>
    <t xml:space="preserve">仕様書ID</t>
  </si>
  <si>
    <t xml:space="preserve">仕様書名</t>
  </si>
  <si>
    <t xml:space="preserve">系統</t>
  </si>
  <si>
    <t xml:space="preserve">版数</t>
  </si>
  <si>
    <t xml:space="preserve">発行部門</t>
  </si>
  <si>
    <t xml:space="preserve">最終更新日</t>
  </si>
  <si>
    <t xml:space="preserve">対応要求ID</t>
  </si>
  <si>
    <t xml:space="preserve">SPEC-COM-001</t>
  </si>
  <si>
    <t xml:space="preserve">共通信号表</t>
  </si>
  <si>
    <t xml:space="preserve">信号表</t>
  </si>
  <si>
    <t xml:space="preserve">Ver1.2</t>
  </si>
  <si>
    <t xml:space="preserve">電装設計部</t>
  </si>
  <si>
    <t xml:space="preserve">SPEC-CTRL-001</t>
  </si>
  <si>
    <t xml:space="preserve">気分推定ロジック制御仕様書</t>
  </si>
  <si>
    <t xml:space="preserve">制御</t>
  </si>
  <si>
    <t xml:space="preserve">2024-08-10</t>
  </si>
  <si>
    <t xml:space="preserve">REQ-001,REQ-002</t>
  </si>
  <si>
    <t xml:space="preserve">SPEC-CTRL-002</t>
  </si>
  <si>
    <t xml:space="preserve">シーン制御仕様書</t>
  </si>
  <si>
    <t xml:space="preserve">Ver1.3</t>
  </si>
  <si>
    <t xml:space="preserve">2024-08-20</t>
  </si>
  <si>
    <t xml:space="preserve">SPEC-CTRL-003</t>
  </si>
  <si>
    <t xml:space="preserve">アンビエントライト制御仕様書</t>
  </si>
  <si>
    <t xml:space="preserve">Ver1.4</t>
  </si>
  <si>
    <t xml:space="preserve">2024-09-05</t>
  </si>
  <si>
    <t xml:space="preserve">REQ-005,REQ-012</t>
  </si>
  <si>
    <r>
      <rPr>
        <sz val="10"/>
        <rFont val="Arial"/>
        <family val="2"/>
        <charset val="1"/>
      </rPr>
      <t xml:space="preserve">Light_Color_Code</t>
    </r>
    <r>
      <rPr>
        <sz val="10"/>
        <rFont val="Noto Sans CJK SC"/>
        <family val="2"/>
      </rPr>
      <t xml:space="preserve">の定義元。改版時に</t>
    </r>
    <r>
      <rPr>
        <sz val="10"/>
        <rFont val="Arial"/>
        <family val="2"/>
        <charset val="1"/>
      </rPr>
      <t xml:space="preserve">GUI</t>
    </r>
    <r>
      <rPr>
        <sz val="10"/>
        <rFont val="Noto Sans CJK SC"/>
        <family val="2"/>
      </rPr>
      <t xml:space="preserve">側への周知が漏れやすい</t>
    </r>
  </si>
  <si>
    <t xml:space="preserve">香り演出制御仕様書</t>
  </si>
  <si>
    <t xml:space="preserve">Ver1.5</t>
  </si>
  <si>
    <t xml:space="preserve">REQ-007,REQ-009,REQ-016</t>
  </si>
  <si>
    <t xml:space="preserve">SPEC-CTRL-005</t>
  </si>
  <si>
    <r>
      <rPr>
        <sz val="10"/>
        <rFont val="Arial"/>
        <family val="2"/>
        <charset val="1"/>
      </rPr>
      <t xml:space="preserve">BGM</t>
    </r>
    <r>
      <rPr>
        <sz val="10"/>
        <rFont val="Noto Sans CJK SC"/>
        <family val="2"/>
      </rPr>
      <t xml:space="preserve">制御制御仕様書</t>
    </r>
  </si>
  <si>
    <t xml:space="preserve">Ver1.0</t>
  </si>
  <si>
    <t xml:space="preserve">2024-07-20</t>
  </si>
  <si>
    <t xml:space="preserve">SPEC-CTRL-006</t>
  </si>
  <si>
    <t xml:space="preserve">空調連携制御仕様書</t>
  </si>
  <si>
    <t xml:space="preserve">2024-07-25</t>
  </si>
  <si>
    <t xml:space="preserve">SPEC-CTRL-007</t>
  </si>
  <si>
    <t xml:space="preserve">診断ログ仕様書</t>
  </si>
  <si>
    <t xml:space="preserve">2024-08-01</t>
  </si>
  <si>
    <t xml:space="preserve">メイン画面(シーン表示)GUI仕様書</t>
  </si>
  <si>
    <t xml:space="preserve">GUI</t>
  </si>
  <si>
    <r>
      <rPr>
        <sz val="10"/>
        <rFont val="Arial"/>
        <family val="2"/>
        <charset val="1"/>
      </rPr>
      <t xml:space="preserve">HMI/GUI</t>
    </r>
    <r>
      <rPr>
        <sz val="10"/>
        <rFont val="Noto Sans CJK SC"/>
        <family val="2"/>
      </rPr>
      <t xml:space="preserve">デザイン担当</t>
    </r>
  </si>
  <si>
    <t xml:space="preserve">2024-09-20</t>
  </si>
  <si>
    <t xml:space="preserve">REQ-004,REQ-013</t>
  </si>
  <si>
    <t xml:space="preserve">アンビエントライト設定画面 GUI仕様書</t>
  </si>
  <si>
    <t xml:space="preserve">2024-09-15</t>
  </si>
  <si>
    <r>
      <rPr>
        <sz val="10"/>
        <rFont val="Arial"/>
        <family val="2"/>
        <charset val="1"/>
      </rPr>
      <t xml:space="preserve">SPEC-SIG-003</t>
    </r>
    <r>
      <rPr>
        <sz val="10"/>
        <rFont val="Noto Sans CJK SC"/>
        <family val="2"/>
      </rPr>
      <t xml:space="preserve">改版</t>
    </r>
    <r>
      <rPr>
        <sz val="10"/>
        <rFont val="Arial"/>
        <family val="2"/>
        <charset val="1"/>
      </rPr>
      <t xml:space="preserve">(Ver1.4)</t>
    </r>
    <r>
      <rPr>
        <sz val="10"/>
        <rFont val="Noto Sans CJK SC"/>
        <family val="2"/>
      </rPr>
      <t xml:space="preserve">後、配色刷新を先行反映。信号表側と対応関係が未確認</t>
    </r>
  </si>
  <si>
    <t xml:space="preserve">香り設定画面 GUI仕様書</t>
  </si>
  <si>
    <t xml:space="preserve">2024-08-28</t>
  </si>
  <si>
    <t xml:space="preserve">多言語表示 GUI仕様書</t>
  </si>
  <si>
    <t xml:space="preserve">2024-08-05</t>
  </si>
  <si>
    <t xml:space="preserve">ジェスチャー操作 GUI仕様書</t>
  </si>
  <si>
    <r>
      <rPr>
        <b val="true"/>
        <sz val="14"/>
        <color rgb="FF1B2A4A"/>
        <rFont val="Arial"/>
        <family val="2"/>
        <charset val="1"/>
      </rPr>
      <t xml:space="preserve">WBS/</t>
    </r>
    <r>
      <rPr>
        <b val="true"/>
        <sz val="14"/>
        <color rgb="FF1B2A4A"/>
        <rFont val="Noto Sans CJK SC"/>
        <family val="2"/>
      </rPr>
      <t xml:space="preserve">スケジュール</t>
    </r>
  </si>
  <si>
    <t xml:space="preserve">工程別タスク一覧(ガントデータ)</t>
  </si>
  <si>
    <t xml:space="preserve">No</t>
  </si>
  <si>
    <t xml:space="preserve">フェーズ</t>
  </si>
  <si>
    <t xml:space="preserve">タスク名</t>
  </si>
  <si>
    <t xml:space="preserve">担当</t>
  </si>
  <si>
    <t xml:space="preserve">開始日</t>
  </si>
  <si>
    <t xml:space="preserve">終了日</t>
  </si>
  <si>
    <t xml:space="preserve">所要日数</t>
  </si>
  <si>
    <t xml:space="preserve">進捗率</t>
  </si>
  <si>
    <t xml:space="preserve">ステータス</t>
  </si>
  <si>
    <t xml:space="preserve">要件定義</t>
  </si>
  <si>
    <t xml:space="preserve">商品企画要求のとりまとめ</t>
  </si>
  <si>
    <t xml:space="preserve">2024-04-01</t>
  </si>
  <si>
    <t xml:space="preserve">2024-05-09</t>
  </si>
  <si>
    <t xml:space="preserve">完了</t>
  </si>
  <si>
    <t xml:space="preserve">要求レビュー・確定(REQ一覧FIX)</t>
  </si>
  <si>
    <t xml:space="preserve">PM/PMO</t>
  </si>
  <si>
    <t xml:space="preserve">2024-05-23</t>
  </si>
  <si>
    <t xml:space="preserve">基本設計</t>
  </si>
  <si>
    <t xml:space="preserve">気分推定/シーン制御 基本設計</t>
  </si>
  <si>
    <t xml:space="preserve">2024-05-27</t>
  </si>
  <si>
    <t xml:space="preserve">2024-07-04</t>
  </si>
  <si>
    <t xml:space="preserve">アンビエントライト/香り演出 基本設計</t>
  </si>
  <si>
    <t xml:space="preserve">2024-07-18</t>
  </si>
  <si>
    <r>
      <rPr>
        <sz val="10"/>
        <rFont val="Arial"/>
        <family val="2"/>
        <charset val="1"/>
      </rPr>
      <t xml:space="preserve">HMI/GUI</t>
    </r>
    <r>
      <rPr>
        <sz val="10"/>
        <rFont val="Noto Sans CJK SC"/>
        <family val="2"/>
      </rPr>
      <t xml:space="preserve">画面設計</t>
    </r>
    <r>
      <rPr>
        <sz val="10"/>
        <rFont val="Arial"/>
        <family val="2"/>
        <charset val="1"/>
      </rPr>
      <t xml:space="preserve">(</t>
    </r>
    <r>
      <rPr>
        <sz val="10"/>
        <rFont val="Noto Sans CJK SC"/>
        <family val="2"/>
      </rPr>
      <t xml:space="preserve">信号表と並行着手</t>
    </r>
    <r>
      <rPr>
        <sz val="10"/>
        <rFont val="Arial"/>
        <family val="2"/>
        <charset val="1"/>
      </rPr>
      <t xml:space="preserve">)</t>
    </r>
  </si>
  <si>
    <r>
      <rPr>
        <sz val="10"/>
        <rFont val="Arial"/>
        <family val="2"/>
        <charset val="1"/>
      </rPr>
      <t xml:space="preserve">HMI/GUI</t>
    </r>
    <r>
      <rPr>
        <sz val="10"/>
        <rFont val="Noto Sans CJK SC"/>
        <family val="2"/>
      </rPr>
      <t xml:space="preserve">デザイン</t>
    </r>
  </si>
  <si>
    <t xml:space="preserve">2024-06-10</t>
  </si>
  <si>
    <t xml:space="preserve">基本設計レビュー(DR1)</t>
  </si>
  <si>
    <t xml:space="preserve">2024-07-29</t>
  </si>
  <si>
    <t xml:space="preserve">詳細設計</t>
  </si>
  <si>
    <t xml:space="preserve">信号表&amp;制御仕様 詳細化</t>
  </si>
  <si>
    <t xml:space="preserve">2024-08-04</t>
  </si>
  <si>
    <t xml:space="preserve">2024-09-26</t>
  </si>
  <si>
    <r>
      <rPr>
        <sz val="10"/>
        <rFont val="Arial"/>
        <family val="2"/>
        <charset val="1"/>
      </rPr>
      <t xml:space="preserve">GUI</t>
    </r>
    <r>
      <rPr>
        <sz val="10"/>
        <rFont val="Noto Sans CJK SC"/>
        <family val="2"/>
      </rPr>
      <t xml:space="preserve">仕様 詳細化</t>
    </r>
    <r>
      <rPr>
        <sz val="10"/>
        <rFont val="Arial"/>
        <family val="2"/>
        <charset val="1"/>
      </rPr>
      <t xml:space="preserve">(</t>
    </r>
    <r>
      <rPr>
        <sz val="10"/>
        <rFont val="Noto Sans CJK SC"/>
        <family val="2"/>
      </rPr>
      <t xml:space="preserve">配色・レイアウト確定</t>
    </r>
    <r>
      <rPr>
        <sz val="10"/>
        <rFont val="Arial"/>
        <family val="2"/>
        <charset val="1"/>
      </rPr>
      <t xml:space="preserve">)</t>
    </r>
  </si>
  <si>
    <t xml:space="preserve">2024-10-10</t>
  </si>
  <si>
    <t xml:space="preserve">進行中</t>
  </si>
  <si>
    <t xml:space="preserve">信号表⇔GUI仕様 整合性レビュー</t>
  </si>
  <si>
    <t xml:space="preserve">2024-10-14</t>
  </si>
  <si>
    <t xml:space="preserve">2024-10-18</t>
  </si>
  <si>
    <t xml:space="preserve">詳細設計レビュー(DR2)</t>
  </si>
  <si>
    <t xml:space="preserve">2024-10-21</t>
  </si>
  <si>
    <t xml:space="preserve">2024-10-25</t>
  </si>
  <si>
    <t xml:space="preserve">実装</t>
  </si>
  <si>
    <t xml:space="preserve">気分推定/シーン制御 実装</t>
  </si>
  <si>
    <t xml:space="preserve">ソフト実装</t>
  </si>
  <si>
    <t xml:space="preserve">2024-10-28</t>
  </si>
  <si>
    <t xml:space="preserve">2025-01-17</t>
  </si>
  <si>
    <t xml:space="preserve">未着手</t>
  </si>
  <si>
    <t xml:space="preserve">アンビエントライト/香り演出 実装</t>
  </si>
  <si>
    <t xml:space="preserve">2024-11-11</t>
  </si>
  <si>
    <t xml:space="preserve">2025-01-31</t>
  </si>
  <si>
    <r>
      <rPr>
        <sz val="10"/>
        <rFont val="Arial"/>
        <family val="2"/>
        <charset val="1"/>
      </rPr>
      <t xml:space="preserve">HMI</t>
    </r>
    <r>
      <rPr>
        <sz val="10"/>
        <rFont val="Noto Sans CJK SC"/>
        <family val="2"/>
      </rPr>
      <t xml:space="preserve">画面実装</t>
    </r>
  </si>
  <si>
    <t xml:space="preserve">2025-02-07</t>
  </si>
  <si>
    <t xml:space="preserve">単体試験</t>
  </si>
  <si>
    <t xml:space="preserve">モジュール単体試験</t>
  </si>
  <si>
    <t xml:space="preserve">評価・試験</t>
  </si>
  <si>
    <t xml:space="preserve">2025-02-10</t>
  </si>
  <si>
    <t xml:space="preserve">2025-03-14</t>
  </si>
  <si>
    <t xml:space="preserve">結合試験</t>
  </si>
  <si>
    <t xml:space="preserve">機能間結合試験(信号表⇔GUI整合性含む)</t>
  </si>
  <si>
    <t xml:space="preserve">2025-03-17</t>
  </si>
  <si>
    <t xml:space="preserve">2025-04-25</t>
  </si>
  <si>
    <t xml:space="preserve">システム試験</t>
  </si>
  <si>
    <t xml:space="preserve">展示車両搭載評価</t>
  </si>
  <si>
    <t xml:space="preserve">2025-04-28</t>
  </si>
  <si>
    <t xml:space="preserve">2025-06-27</t>
  </si>
  <si>
    <t xml:space="preserve">出荷判定</t>
  </si>
  <si>
    <t xml:space="preserve">展示判定会議(DR3)</t>
  </si>
  <si>
    <t xml:space="preserve">2025-07-14</t>
  </si>
  <si>
    <t xml:space="preserve">2025-07-18</t>
  </si>
  <si>
    <t xml:space="preserve">完成</t>
  </si>
  <si>
    <t xml:space="preserve">展示車両完成</t>
  </si>
  <si>
    <t xml:space="preserve">全体</t>
  </si>
  <si>
    <t xml:space="preserve">2025-09-22</t>
  </si>
  <si>
    <t xml:space="preserve">2025-09-30</t>
  </si>
  <si>
    <t xml:space="preserve">全体進捗率(単純平均)</t>
  </si>
  <si>
    <t xml:space="preserve">見積もり実績(過去試作機)</t>
  </si>
  <si>
    <t xml:space="preserve">⑦見積もりロジックのデモ基盤:類似機能の見積/実績データ</t>
  </si>
  <si>
    <t xml:space="preserve">試作機</t>
  </si>
  <si>
    <t xml:space="preserve">年式</t>
  </si>
  <si>
    <t xml:space="preserve">機能カテゴリ</t>
  </si>
  <si>
    <t xml:space="preserve">機能項目</t>
  </si>
  <si>
    <t xml:space="preserve">見積工数(人日)</t>
  </si>
  <si>
    <t xml:space="preserve">実績工数(人日)</t>
  </si>
  <si>
    <t xml:space="preserve">差異(人日)</t>
  </si>
  <si>
    <t xml:space="preserve">差異率</t>
  </si>
  <si>
    <t xml:space="preserve">工数超過の主要因</t>
  </si>
  <si>
    <t xml:space="preserve">Concept AEC-Pilot</t>
  </si>
  <si>
    <t xml:space="preserve">心拍センサーからの気分スコア算出</t>
  </si>
  <si>
    <t xml:space="preserve">センサーノイズ除去ロジックの作り込みで手戻り</t>
  </si>
  <si>
    <r>
      <rPr>
        <sz val="10"/>
        <rFont val="Arial"/>
        <family val="2"/>
        <charset val="1"/>
      </rPr>
      <t xml:space="preserve">3</t>
    </r>
    <r>
      <rPr>
        <sz val="10"/>
        <rFont val="Noto Sans CJK SC"/>
        <family val="2"/>
      </rPr>
      <t xml:space="preserve">シーン自動選択ロジック</t>
    </r>
  </si>
  <si>
    <t xml:space="preserve">メイン画面(シーン表示)実装</t>
  </si>
  <si>
    <t xml:space="preserve">信号表側の値定義変更にGUI側の対応が追従できず手戻り</t>
  </si>
  <si>
    <t xml:space="preserve">Concept Serenity</t>
  </si>
  <si>
    <r>
      <rPr>
        <sz val="10"/>
        <rFont val="Arial"/>
        <family val="2"/>
        <charset val="1"/>
      </rPr>
      <t xml:space="preserve">4</t>
    </r>
    <r>
      <rPr>
        <sz val="10"/>
        <rFont val="Noto Sans CJK SC"/>
        <family val="2"/>
      </rPr>
      <t xml:space="preserve">段階強度制御</t>
    </r>
  </si>
  <si>
    <t xml:space="preserve">安全側フォールバック(強制OFF)</t>
  </si>
  <si>
    <t xml:space="preserve">安全要求の作り込みに想定超の評価工数</t>
  </si>
  <si>
    <t xml:space="preserve">香り設定画面実装</t>
  </si>
  <si>
    <t xml:space="preserve">信号表の強度レベル定義(0-3)とGUIの表示レベル(1-4)がズレて手戻り</t>
  </si>
  <si>
    <t xml:space="preserve">香り拡散ユニットの稼働ログ記録</t>
  </si>
  <si>
    <t xml:space="preserve">平均差異率(全試作機)</t>
  </si>
  <si>
    <r>
      <rPr>
        <sz val="11"/>
        <color theme="1"/>
        <rFont val="Calibri"/>
        <family val="2"/>
        <charset val="1"/>
      </rPr>
      <t xml:space="preserve">HMI/GUI</t>
    </r>
    <r>
      <rPr>
        <sz val="11"/>
        <color theme="1"/>
        <rFont val="Noto Sans CJK SC"/>
        <family val="2"/>
      </rPr>
      <t xml:space="preserve">関連機能は過去</t>
    </r>
    <r>
      <rPr>
        <sz val="11"/>
        <color theme="1"/>
        <rFont val="Calibri"/>
        <family val="2"/>
        <charset val="1"/>
      </rPr>
      <t xml:space="preserve">2</t>
    </r>
    <r>
      <rPr>
        <sz val="11"/>
        <color theme="1"/>
        <rFont val="Noto Sans CJK SC"/>
        <family val="2"/>
      </rPr>
      <t xml:space="preserve">試作機とも工数超過が突出。原因はいずれも「信号表側の値定義と</t>
    </r>
    <r>
      <rPr>
        <sz val="11"/>
        <color theme="1"/>
        <rFont val="Calibri"/>
        <family val="2"/>
        <charset val="1"/>
      </rPr>
      <t xml:space="preserve">GUI</t>
    </r>
    <r>
      <rPr>
        <sz val="11"/>
        <color theme="1"/>
        <rFont val="Noto Sans CJK SC"/>
        <family val="2"/>
      </rPr>
      <t xml:space="preserve">側の表示定義の不整合による手戻り」。⑦のデモではこの傾向を根拠に新規見積りへの警告ロジックを実装予定。</t>
    </r>
  </si>
  <si>
    <t xml:space="preserve">新規見積り(AEC)</t>
  </si>
  <si>
    <t xml:space="preserve">過去実績を参照した見積り妥当性チェック</t>
  </si>
  <si>
    <t xml:space="preserve">新規見積工数(人日)</t>
  </si>
  <si>
    <t xml:space="preserve">参照する過去実績(平均差異率)</t>
  </si>
  <si>
    <t xml:space="preserve">妥当性チェック(見積×(1+差異率))</t>
  </si>
  <si>
    <t xml:space="preserve">判定</t>
  </si>
  <si>
    <t xml:space="preserve">メイン画面+アンビエントライト設定画面 実装</t>
  </si>
  <si>
    <t xml:space="preserve">心拍+表情カメラ統合ロジック</t>
  </si>
  <si>
    <r>
      <rPr>
        <sz val="10"/>
        <rFont val="Arial"/>
        <family val="2"/>
        <charset val="1"/>
      </rPr>
      <t xml:space="preserve">4</t>
    </r>
    <r>
      <rPr>
        <sz val="10"/>
        <rFont val="Noto Sans CJK SC"/>
        <family val="2"/>
      </rPr>
      <t xml:space="preserve">段階強度制御</t>
    </r>
    <r>
      <rPr>
        <sz val="10"/>
        <rFont val="Arial"/>
        <family val="2"/>
        <charset val="1"/>
      </rPr>
      <t xml:space="preserve">+</t>
    </r>
    <r>
      <rPr>
        <sz val="10"/>
        <rFont val="Noto Sans CJK SC"/>
        <family val="2"/>
      </rPr>
      <t xml:space="preserve">安全側フォールバック</t>
    </r>
  </si>
  <si>
    <t xml:space="preserve">※本シートは⑦見積もりロジックのデモにおける「妥当性チェック」の考え方を簡易表現したサンプルです。実デモでは類似案件検索(過去実績DB全体からの近傍抽出)ロジックに置き換える想定。</t>
  </si>
  <si>
    <t xml:space="preserve">不具合票(過去試作機)</t>
  </si>
  <si>
    <t xml:space="preserve">信号表とGUI仕様の不整合に起因する不具合を中心に収録</t>
  </si>
  <si>
    <t xml:space="preserve">不具合ID</t>
  </si>
  <si>
    <t xml:space="preserve">発見工程</t>
  </si>
  <si>
    <t xml:space="preserve">概要</t>
  </si>
  <si>
    <t xml:space="preserve">原因分類</t>
  </si>
  <si>
    <t xml:space="preserve">重大度</t>
  </si>
  <si>
    <t xml:space="preserve">対策・水平展開</t>
  </si>
  <si>
    <t xml:space="preserve">DEF-2022-004</t>
  </si>
  <si>
    <t xml:space="preserve">信号表でLight_Color_Code=0x02は「Amber」定義だが、GUI画面では「Yellow」のスウォッチで表示されており、乗員から見た色名と実際の発光色が一致しない</t>
  </si>
  <si>
    <t xml:space="preserve">仕様書間不整合</t>
  </si>
  <si>
    <t xml:space="preserve">中</t>
  </si>
  <si>
    <t xml:space="preserve">信号表とGUI仕様の色定義を1つの共通マスタ(色コード表)に統合。次期案件のSPEC-GUI-002作成ルールに反映</t>
  </si>
  <si>
    <t xml:space="preserve">DEF-2022-011</t>
  </si>
  <si>
    <t xml:space="preserve">手動でシーンを上書きした直後、信号表側のシーン状態(現在値)がGUI側の表示に反映されるまで約2秒のタイムラグがあり、ボタン連打で表示が不整合になる</t>
  </si>
  <si>
    <t xml:space="preserve">設計考慮漏れ</t>
  </si>
  <si>
    <t xml:space="preserve">軽微</t>
  </si>
  <si>
    <t xml:space="preserve">状態同期のポーリング間隔を短縮</t>
  </si>
  <si>
    <t xml:space="preserve">DEF-2023-006</t>
  </si>
  <si>
    <t xml:space="preserve">信号表の強度レベルは0-3(4段階)で定義されているが、GUI仕様書のスライダーは1-4表記になっており、GUI側で選択した「レベル4」が信号表上は未定義値として扱われエラーになる</t>
  </si>
  <si>
    <t xml:space="preserve">重大</t>
  </si>
  <si>
    <t xml:space="preserve">レベル表記(0始まり/1始まり)を統一。仕様書のレビュープロセスに「信号表↔GUI仕様の値域一致チェック」を追加</t>
  </si>
  <si>
    <t xml:space="preserve">DEF-2023-013</t>
  </si>
  <si>
    <t xml:space="preserve">実車評価</t>
  </si>
  <si>
    <t xml:space="preserve">安全側フォールバック(強制OFF)発動時、信号表上はOFF状態になっているが、GUI画面には直前の強度設定がそのまま表示され続け、乗員に誤解を与える</t>
  </si>
  <si>
    <t xml:space="preserve">フォールバック発動時のGUI表示仕様を明文化し、信号表の状態遷移とGUI表示の対応表を仕様書に追加</t>
  </si>
  <si>
    <t xml:space="preserve">DEF-2023-018</t>
  </si>
  <si>
    <t xml:space="preserve">香り拡散ユニットの30分強制休止後、再開までのカウントダウンがGUI画面に表示されず、乗員が故障と誤認する</t>
  </si>
  <si>
    <t xml:space="preserve">カウントダウン表示をGUI仕様に追加要求として起票</t>
  </si>
  <si>
    <t xml:space="preserve">DEF-2022-019</t>
  </si>
  <si>
    <t xml:space="preserve">直射日光下で表情認識カメラの精度が著しく低下し、気分スコアが不安定になる</t>
  </si>
  <si>
    <t xml:space="preserve">評価不足</t>
  </si>
  <si>
    <t xml:space="preserve">逆光補正ロジックを追加。次期案件の評価項目に直射日光下パターンを追加</t>
  </si>
  <si>
    <t xml:space="preserve">テストケース一覧</t>
  </si>
  <si>
    <r>
      <rPr>
        <i val="true"/>
        <sz val="9"/>
        <color rgb="FF6B7280"/>
        <rFont val="Arial"/>
        <family val="2"/>
        <charset val="1"/>
      </rPr>
      <t xml:space="preserve">AEC </t>
    </r>
    <r>
      <rPr>
        <i val="true"/>
        <sz val="9"/>
        <color rgb="FF6B7280"/>
        <rFont val="Noto Sans CJK SC"/>
        <family val="2"/>
      </rPr>
      <t xml:space="preserve">システム試験レベルのテストケース</t>
    </r>
  </si>
  <si>
    <t xml:space="preserve">TC-ID</t>
  </si>
  <si>
    <t xml:space="preserve">試験項目</t>
  </si>
  <si>
    <t xml:space="preserve">前提条件</t>
  </si>
  <si>
    <t xml:space="preserve">期待結果</t>
  </si>
  <si>
    <t xml:space="preserve">試験工程</t>
  </si>
  <si>
    <t xml:space="preserve">結果</t>
  </si>
  <si>
    <t xml:space="preserve">TC-001</t>
  </si>
  <si>
    <t xml:space="preserve">心拍センサーによる気分スコア算出</t>
  </si>
  <si>
    <t xml:space="preserve">静止・安静状態</t>
  </si>
  <si>
    <t xml:space="preserve">気分スコアが妥当な範囲(0-100)で安定算出される</t>
  </si>
  <si>
    <t xml:space="preserve">未実施</t>
  </si>
  <si>
    <t xml:space="preserve">TC-002</t>
  </si>
  <si>
    <t xml:space="preserve">シーン自動選択</t>
  </si>
  <si>
    <t xml:space="preserve">気分スコアを各閾値付近に設定</t>
  </si>
  <si>
    <t xml:space="preserve">スコアに応じたシーンが正しく選択される</t>
  </si>
  <si>
    <t xml:space="preserve">TC-003</t>
  </si>
  <si>
    <t xml:space="preserve">REQ-005/REQ-006</t>
  </si>
  <si>
    <t xml:space="preserve">アンビエントライト色と画面表示の整合性</t>
  </si>
  <si>
    <t xml:space="preserve">各シーンに切替</t>
  </si>
  <si>
    <t xml:space="preserve">信号表定義の発光色とGUI画面のカラースウォッチが一致する(DEF-2022-004の水平展開確認)</t>
  </si>
  <si>
    <t xml:space="preserve">TC-004</t>
  </si>
  <si>
    <t xml:space="preserve">REQ-007/REQ-008</t>
  </si>
  <si>
    <t xml:space="preserve">香り強度と画面スライダーの整合性</t>
  </si>
  <si>
    <t xml:space="preserve">強度レベルを0〜3(信号表基準)で順に変更</t>
  </si>
  <si>
    <r>
      <rPr>
        <sz val="10"/>
        <rFont val="Arial"/>
        <family val="2"/>
        <charset val="1"/>
      </rPr>
      <t xml:space="preserve">GUI</t>
    </r>
    <r>
      <rPr>
        <sz val="10"/>
        <rFont val="Noto Sans CJK SC"/>
        <family val="2"/>
      </rPr>
      <t xml:space="preserve">スライダーの表示値と実際の強度が一致する</t>
    </r>
    <r>
      <rPr>
        <sz val="10"/>
        <rFont val="Arial"/>
        <family val="2"/>
        <charset val="1"/>
      </rPr>
      <t xml:space="preserve">(DEF-2023-006</t>
    </r>
    <r>
      <rPr>
        <sz val="10"/>
        <rFont val="Noto Sans CJK SC"/>
        <family val="2"/>
      </rPr>
      <t xml:space="preserve">の水平展開確認</t>
    </r>
    <r>
      <rPr>
        <sz val="10"/>
        <rFont val="Arial"/>
        <family val="2"/>
        <charset val="1"/>
      </rPr>
      <t xml:space="preserve">)</t>
    </r>
  </si>
  <si>
    <t xml:space="preserve">TC-005</t>
  </si>
  <si>
    <t xml:space="preserve">REQ-009/REQ-016</t>
  </si>
  <si>
    <t xml:space="preserve">香り安全側フォールバック</t>
  </si>
  <si>
    <t xml:space="preserve">連続稼働30分経過、またはOFF操作</t>
  </si>
  <si>
    <t xml:space="preserve">強制OFFとなり、GUI表示も即座にOFF状態へ更新される(DEF-2023-013の水平展開確認)</t>
  </si>
  <si>
    <t xml:space="preserve">TC-006</t>
  </si>
  <si>
    <t xml:space="preserve">シーン手動上書きの表示同期</t>
  </si>
  <si>
    <t xml:space="preserve">自動選択中に手動でシーン変更</t>
  </si>
  <si>
    <t xml:space="preserve">変更後2秒以内にGUI表示が同期する(DEF-2022-011の水平展開確認)</t>
  </si>
  <si>
    <t xml:space="preserve">TC-007</t>
  </si>
  <si>
    <t xml:space="preserve">シーン連動BGM自動再生</t>
  </si>
  <si>
    <t xml:space="preserve">シーン切替</t>
  </si>
  <si>
    <t xml:space="preserve">シーンに対応したBGMが再生される</t>
  </si>
  <si>
    <t xml:space="preserve">TC-008</t>
  </si>
  <si>
    <t xml:space="preserve">空調連携制御</t>
  </si>
  <si>
    <t xml:space="preserve">空調ECUへの制御要求が送信され、温度・風量が調整される</t>
  </si>
  <si>
    <t xml:space="preserve">TC-009</t>
  </si>
  <si>
    <r>
      <rPr>
        <sz val="10"/>
        <rFont val="Arial"/>
        <family val="2"/>
        <charset val="1"/>
      </rPr>
      <t xml:space="preserve">REQ-012(</t>
    </r>
    <r>
      <rPr>
        <sz val="10"/>
        <rFont val="Noto Sans CJK SC"/>
        <family val="2"/>
      </rPr>
      <t xml:space="preserve">将来</t>
    </r>
    <r>
      <rPr>
        <sz val="10"/>
        <rFont val="Arial"/>
        <family val="2"/>
        <charset val="1"/>
      </rPr>
      <t xml:space="preserve">)</t>
    </r>
  </si>
  <si>
    <t xml:space="preserve">外装ライト連動(将来スコープ・本PoCでは対象外)</t>
  </si>
  <si>
    <t xml:space="preserve">外装アンビエントライトの発光色が車内シーンと連動して変化する</t>
  </si>
  <si>
    <t xml:space="preserve">対象外</t>
  </si>
  <si>
    <t xml:space="preserve">TC-010</t>
  </si>
  <si>
    <r>
      <rPr>
        <sz val="10"/>
        <rFont val="Arial"/>
        <family val="2"/>
        <charset val="1"/>
      </rPr>
      <t xml:space="preserve">HMI</t>
    </r>
    <r>
      <rPr>
        <sz val="10"/>
        <rFont val="Noto Sans CJK SC"/>
        <family val="2"/>
      </rPr>
      <t xml:space="preserve">メイン画面の情報集約表示</t>
    </r>
  </si>
  <si>
    <r>
      <rPr>
        <sz val="10"/>
        <rFont val="Arial"/>
        <family val="2"/>
        <charset val="1"/>
      </rPr>
      <t xml:space="preserve">AEC</t>
    </r>
    <r>
      <rPr>
        <sz val="10"/>
        <rFont val="Noto Sans CJK SC"/>
        <family val="2"/>
      </rPr>
      <t xml:space="preserve">動作中</t>
    </r>
  </si>
  <si>
    <t xml:space="preserve">シーン名・気分スコア・各アクチュエータ状態が1画面に表示される</t>
  </si>
  <si>
    <t xml:space="preserve">TC-011</t>
  </si>
  <si>
    <t xml:space="preserve">多言語表示切替</t>
  </si>
  <si>
    <r>
      <rPr>
        <sz val="10"/>
        <rFont val="Arial"/>
        <family val="2"/>
        <charset val="1"/>
      </rPr>
      <t xml:space="preserve">UI</t>
    </r>
    <r>
      <rPr>
        <sz val="10"/>
        <rFont val="Noto Sans CJK SC"/>
        <family val="2"/>
      </rPr>
      <t xml:space="preserve">言語を日→英→中へ切替</t>
    </r>
  </si>
  <si>
    <t xml:space="preserve">シーン名・設定項目名が選択言語で表示される</t>
  </si>
  <si>
    <t xml:space="preserve">TC-012</t>
  </si>
  <si>
    <t xml:space="preserve">診断ログ記録</t>
  </si>
  <si>
    <t xml:space="preserve">気分推定ロジック動作中</t>
  </si>
  <si>
    <t xml:space="preserve">入出力値が診断ログに記録される</t>
  </si>
  <si>
    <t xml:space="preserve">TC-013</t>
  </si>
  <si>
    <r>
      <rPr>
        <sz val="10"/>
        <rFont val="Arial"/>
        <family val="2"/>
        <charset val="1"/>
      </rPr>
      <t xml:space="preserve">A</t>
    </r>
    <r>
      <rPr>
        <sz val="10"/>
        <rFont val="Noto Sans CJK SC"/>
        <family val="2"/>
      </rPr>
      <t xml:space="preserve">ピラー付近でジェスチャー動作</t>
    </r>
  </si>
  <si>
    <t xml:space="preserve">承認/却下の簡易操作が認識される</t>
  </si>
  <si>
    <t xml:space="preserve">トレーサビリティマトリクス</t>
  </si>
  <si>
    <t xml:space="preserve">要求ID ⇔ 仕様書セクション(信号表/GUI) ⇔ テストケースID</t>
  </si>
  <si>
    <t xml:space="preserve">要求内容(要約)</t>
  </si>
  <si>
    <t xml:space="preserve">信号表&amp;制御仕様ID</t>
  </si>
  <si>
    <r>
      <rPr>
        <b val="true"/>
        <sz val="10"/>
        <color rgb="FFFFFFFF"/>
        <rFont val="Arial"/>
        <family val="2"/>
        <charset val="1"/>
      </rPr>
      <t xml:space="preserve">GUI</t>
    </r>
    <r>
      <rPr>
        <b val="true"/>
        <sz val="10"/>
        <color rgb="FFFFFFFF"/>
        <rFont val="Noto Sans CJK SC"/>
        <family val="2"/>
      </rPr>
      <t xml:space="preserve">仕様</t>
    </r>
    <r>
      <rPr>
        <b val="true"/>
        <sz val="10"/>
        <color rgb="FFFFFFFF"/>
        <rFont val="Arial"/>
        <family val="2"/>
        <charset val="1"/>
      </rPr>
      <t xml:space="preserve">ID</t>
    </r>
  </si>
  <si>
    <t xml:space="preserve">テストケースID</t>
  </si>
  <si>
    <t xml:space="preserve">トレース状態</t>
  </si>
  <si>
    <t xml:space="preserve">気分スコア算出</t>
  </si>
  <si>
    <t xml:space="preserve">-</t>
  </si>
  <si>
    <t xml:space="preserve">OK</t>
  </si>
  <si>
    <t xml:space="preserve">シーン手動上書き</t>
  </si>
  <si>
    <t xml:space="preserve">アンビエントライト自動制御</t>
  </si>
  <si>
    <r>
      <rPr>
        <sz val="10"/>
        <rFont val="Arial"/>
        <family val="2"/>
        <charset val="1"/>
      </rPr>
      <t xml:space="preserve">NG:</t>
    </r>
    <r>
      <rPr>
        <sz val="10"/>
        <rFont val="Noto Sans CJK SC"/>
        <family val="2"/>
      </rPr>
      <t xml:space="preserve">信号表</t>
    </r>
    <r>
      <rPr>
        <sz val="10"/>
        <rFont val="Arial"/>
        <family val="2"/>
        <charset val="1"/>
      </rPr>
      <t xml:space="preserve">Ver1.4</t>
    </r>
    <r>
      <rPr>
        <sz val="10"/>
        <rFont val="Noto Sans CJK SC"/>
        <family val="2"/>
      </rPr>
      <t xml:space="preserve">と</t>
    </r>
    <r>
      <rPr>
        <sz val="10"/>
        <rFont val="Arial"/>
        <family val="2"/>
        <charset val="1"/>
      </rPr>
      <t xml:space="preserve">GUI</t>
    </r>
    <r>
      <rPr>
        <sz val="10"/>
        <rFont val="Noto Sans CJK SC"/>
        <family val="2"/>
      </rPr>
      <t xml:space="preserve">仕様の色コード対応関係が未確認</t>
    </r>
    <r>
      <rPr>
        <sz val="10"/>
        <rFont val="Arial"/>
        <family val="2"/>
        <charset val="1"/>
      </rPr>
      <t xml:space="preserve">(DEF-2022-004</t>
    </r>
    <r>
      <rPr>
        <sz val="10"/>
        <rFont val="Noto Sans CJK SC"/>
        <family val="2"/>
      </rPr>
      <t xml:space="preserve">と同種</t>
    </r>
    <r>
      <rPr>
        <sz val="10"/>
        <rFont val="Arial"/>
        <family val="2"/>
        <charset val="1"/>
      </rPr>
      <t xml:space="preserve">)</t>
    </r>
  </si>
  <si>
    <t xml:space="preserve">ライト色のGUI表示</t>
  </si>
  <si>
    <r>
      <rPr>
        <sz val="10"/>
        <rFont val="Arial"/>
        <family val="2"/>
        <charset val="1"/>
      </rPr>
      <t xml:space="preserve">NG:REQ-005</t>
    </r>
    <r>
      <rPr>
        <sz val="10"/>
        <rFont val="Noto Sans CJK SC"/>
        <family val="2"/>
      </rPr>
      <t xml:space="preserve">と同じ不整合</t>
    </r>
  </si>
  <si>
    <t xml:space="preserve">香り強度制御</t>
  </si>
  <si>
    <t xml:space="preserve">要確認:強度レベルの値域表記(0始まり/1始まり)の統一が未完了</t>
  </si>
  <si>
    <t xml:space="preserve">香り強度のGUI表示</t>
  </si>
  <si>
    <t xml:space="preserve">要確認:REQ-007と同じ懸念</t>
  </si>
  <si>
    <r>
      <rPr>
        <sz val="10"/>
        <rFont val="Arial"/>
        <family val="2"/>
        <charset val="1"/>
      </rPr>
      <t xml:space="preserve">OK(DEF-2023-013</t>
    </r>
    <r>
      <rPr>
        <sz val="10"/>
        <rFont val="Noto Sans CJK SC"/>
        <family val="2"/>
      </rPr>
      <t xml:space="preserve">反映確認含む</t>
    </r>
    <r>
      <rPr>
        <sz val="10"/>
        <rFont val="Arial"/>
        <family val="2"/>
        <charset val="1"/>
      </rPr>
      <t xml:space="preserve">)</t>
    </r>
  </si>
  <si>
    <t xml:space="preserve">シーン連動BGM</t>
  </si>
  <si>
    <t xml:space="preserve">外装ライト連動(将来スコープ)</t>
  </si>
  <si>
    <t xml:space="preserve">対象外(将来)</t>
  </si>
  <si>
    <t xml:space="preserve">対象外:本PoCでは非スコープ。プライバシー配慮の検討事項として保留</t>
  </si>
  <si>
    <r>
      <rPr>
        <sz val="10"/>
        <rFont val="Arial"/>
        <family val="2"/>
        <charset val="1"/>
      </rPr>
      <t xml:space="preserve">HMI</t>
    </r>
    <r>
      <rPr>
        <sz val="10"/>
        <rFont val="Noto Sans CJK SC"/>
        <family val="2"/>
      </rPr>
      <t xml:space="preserve">メイン画面表示</t>
    </r>
  </si>
  <si>
    <t xml:space="preserve">多言語表示</t>
  </si>
  <si>
    <t xml:space="preserve">診断ログ</t>
  </si>
  <si>
    <t xml:space="preserve">香り強制休止</t>
  </si>
  <si>
    <t xml:space="preserve">未割当</t>
  </si>
  <si>
    <r>
      <rPr>
        <sz val="10"/>
        <rFont val="Arial"/>
        <family val="2"/>
        <charset val="1"/>
      </rPr>
      <t xml:space="preserve">NG:</t>
    </r>
    <r>
      <rPr>
        <sz val="10"/>
        <rFont val="Noto Sans CJK SC"/>
        <family val="2"/>
      </rPr>
      <t xml:space="preserve">カウントダウン表示のテストケース未作成</t>
    </r>
    <r>
      <rPr>
        <sz val="10"/>
        <rFont val="Arial"/>
        <family val="2"/>
        <charset val="1"/>
      </rPr>
      <t xml:space="preserve">(DEF-2023-018</t>
    </r>
    <r>
      <rPr>
        <sz val="10"/>
        <rFont val="Noto Sans CJK SC"/>
        <family val="2"/>
      </rPr>
      <t xml:space="preserve">関連</t>
    </r>
    <r>
      <rPr>
        <sz val="10"/>
        <rFont val="Arial"/>
        <family val="2"/>
        <charset val="1"/>
      </rPr>
      <t xml:space="preserve">)</t>
    </r>
  </si>
  <si>
    <t xml:space="preserve">※凡例: OK=要求→信号表/GUI仕様→試験が一貫して追跡可能 / 要確認=信号表とGUI仕様の対応関係に潜在的な差異あり / NG=不整合が確認済み、またはトレースの欠落</t>
  </si>
</sst>
</file>

<file path=xl/styles.xml><?xml version="1.0" encoding="utf-8"?>
<styleSheet xmlns="http://schemas.openxmlformats.org/spreadsheetml/2006/main">
  <numFmts count="6">
    <numFmt numFmtId="164" formatCode="General"/>
    <numFmt numFmtId="165" formatCode="m/d/yyyy"/>
    <numFmt numFmtId="166" formatCode="yyyy\-mm\-dd"/>
    <numFmt numFmtId="167" formatCode="0%"/>
    <numFmt numFmtId="168" formatCode="0.0%"/>
    <numFmt numFmtId="169" formatCode="0.0"/>
  </numFmts>
  <fonts count="21">
    <font>
      <sz val="11"/>
      <color theme="1"/>
      <name val="Calibri"/>
      <family val="2"/>
      <charset val="1"/>
    </font>
    <font>
      <sz val="10"/>
      <name val="Arial"/>
      <family val="0"/>
    </font>
    <font>
      <sz val="10"/>
      <name val="Arial"/>
      <family val="0"/>
    </font>
    <font>
      <sz val="10"/>
      <name val="Arial"/>
      <family val="0"/>
    </font>
    <font>
      <b val="true"/>
      <sz val="14"/>
      <color rgb="FF1B2A4A"/>
      <name val="Noto Sans CJK SC"/>
      <family val="2"/>
      <charset val="1"/>
    </font>
    <font>
      <i val="true"/>
      <sz val="9"/>
      <color rgb="FF6B7280"/>
      <name val="Arial"/>
      <family val="2"/>
      <charset val="1"/>
    </font>
    <font>
      <i val="true"/>
      <sz val="9"/>
      <color rgb="FF6B7280"/>
      <name val="Noto Sans CJK SC"/>
      <family val="2"/>
    </font>
    <font>
      <b val="true"/>
      <sz val="10"/>
      <name val="Noto Sans CJK SC"/>
      <family val="2"/>
      <charset val="1"/>
    </font>
    <font>
      <i val="true"/>
      <sz val="9"/>
      <color rgb="FF6B7280"/>
      <name val="Noto Sans CJK SC"/>
      <family val="2"/>
      <charset val="1"/>
    </font>
    <font>
      <b val="true"/>
      <sz val="10"/>
      <color rgb="FFFFFFFF"/>
      <name val="Noto Sans CJK SC"/>
      <family val="2"/>
      <charset val="1"/>
    </font>
    <font>
      <sz val="10"/>
      <name val="Arial"/>
      <family val="2"/>
      <charset val="1"/>
    </font>
    <font>
      <sz val="10"/>
      <name val="Noto Sans CJK SC"/>
      <family val="2"/>
    </font>
    <font>
      <sz val="10"/>
      <name val="Noto Sans CJK SC"/>
      <family val="3"/>
      <charset val="128"/>
    </font>
    <font>
      <sz val="10"/>
      <name val="Noto Sans CJK SC"/>
      <family val="2"/>
      <charset val="1"/>
    </font>
    <font>
      <i val="true"/>
      <sz val="9"/>
      <color rgb="FF6B7280"/>
      <name val="Noto Sans CJK SC"/>
      <family val="3"/>
      <charset val="128"/>
    </font>
    <font>
      <b val="true"/>
      <sz val="14"/>
      <color rgb="FF1B2A4A"/>
      <name val="Arial"/>
      <family val="2"/>
      <charset val="1"/>
    </font>
    <font>
      <b val="true"/>
      <sz val="14"/>
      <color rgb="FF1B2A4A"/>
      <name val="Noto Sans CJK SC"/>
      <family val="2"/>
    </font>
    <font>
      <b val="true"/>
      <sz val="10"/>
      <color rgb="FFFFFFFF"/>
      <name val="Arial"/>
      <family val="2"/>
      <charset val="1"/>
    </font>
    <font>
      <b val="true"/>
      <sz val="10"/>
      <name val="Arial"/>
      <family val="2"/>
      <charset val="1"/>
    </font>
    <font>
      <sz val="11"/>
      <color theme="1"/>
      <name val="Noto Sans CJK SC"/>
      <family val="2"/>
    </font>
    <font>
      <b val="true"/>
      <sz val="10"/>
      <color rgb="FFFFFFFF"/>
      <name val="Noto Sans CJK SC"/>
      <family val="2"/>
    </font>
  </fonts>
  <fills count="8">
    <fill>
      <patternFill patternType="none"/>
    </fill>
    <fill>
      <patternFill patternType="gray125"/>
    </fill>
    <fill>
      <patternFill patternType="solid">
        <fgColor rgb="FF1B2A4A"/>
        <bgColor rgb="FF003366"/>
      </patternFill>
    </fill>
    <fill>
      <patternFill patternType="solid">
        <fgColor rgb="FFFFF2CC"/>
        <bgColor rgb="FFFCE5CD"/>
      </patternFill>
    </fill>
    <fill>
      <patternFill patternType="solid">
        <fgColor rgb="FFD9EAD3"/>
        <bgColor rgb="FFE8EDF5"/>
      </patternFill>
    </fill>
    <fill>
      <patternFill patternType="solid">
        <fgColor rgb="FFFCE5CD"/>
        <bgColor rgb="FFFFF2CC"/>
      </patternFill>
    </fill>
    <fill>
      <patternFill patternType="solid">
        <fgColor rgb="FFF4CCCC"/>
        <bgColor rgb="FFFCE5CD"/>
      </patternFill>
    </fill>
    <fill>
      <patternFill patternType="solid">
        <fgColor rgb="FFE8EDF5"/>
        <bgColor rgb="FFD9EAD3"/>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left" vertical="center" textRotation="0" wrapText="false" indent="0" shrinkToFit="false"/>
      <protection locked="true" hidden="false"/>
    </xf>
    <xf numFmtId="166" fontId="10" fillId="0" borderId="1"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6" fontId="10" fillId="0" borderId="1" xfId="0" applyFont="true" applyBorder="true" applyAlignment="true" applyProtection="false">
      <alignment horizontal="general" vertical="center" textRotation="0" wrapText="false" indent="0" shrinkToFit="false"/>
      <protection locked="true" hidden="false"/>
    </xf>
    <xf numFmtId="167" fontId="10" fillId="0" borderId="1" xfId="0" applyFont="true" applyBorder="true" applyAlignment="true" applyProtection="false">
      <alignment horizontal="general" vertical="center" textRotation="0" wrapText="false" indent="0" shrinkToFit="false"/>
      <protection locked="true" hidden="false"/>
    </xf>
    <xf numFmtId="168" fontId="18" fillId="0" borderId="0" xfId="0" applyFont="true" applyBorder="fals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9" fontId="10" fillId="0" borderId="1" xfId="0" applyFont="true" applyBorder="true" applyAlignment="true" applyProtection="false">
      <alignment horizontal="general"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false" indent="0" shrinkToFit="false"/>
      <protection locked="true" hidden="false"/>
    </xf>
    <xf numFmtId="164" fontId="13" fillId="4" borderId="1" xfId="0" applyFont="true" applyBorder="true" applyAlignment="true" applyProtection="false">
      <alignment horizontal="left"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E8ED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4" activeCellId="0" sqref="A14"/>
    </sheetView>
  </sheetViews>
  <sheetFormatPr defaultColWidth="8.6328125" defaultRowHeight="14.25" zeroHeight="false" outlineLevelRow="0" outlineLevelCol="0"/>
  <cols>
    <col collapsed="false" customWidth="true" hidden="false" outlineLevel="0" max="1" min="1" style="1" width="22"/>
    <col collapsed="false" customWidth="true" hidden="false" outlineLevel="0" max="2" min="2" style="1" width="85"/>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39.75" hidden="false" customHeight="true" outlineLevel="0" collapsed="false">
      <c r="A5" s="5" t="s">
        <v>3</v>
      </c>
      <c r="B5" s="5"/>
      <c r="C5" s="5"/>
      <c r="D5" s="5"/>
      <c r="E5" s="5"/>
      <c r="F5" s="5"/>
    </row>
    <row r="7" customFormat="false" ht="15" hidden="false" customHeight="true" outlineLevel="0" collapsed="false">
      <c r="A7" s="6" t="s">
        <v>4</v>
      </c>
      <c r="B7" s="6" t="s">
        <v>5</v>
      </c>
    </row>
    <row r="8" customFormat="false" ht="30" hidden="false" customHeight="true" outlineLevel="0" collapsed="false">
      <c r="A8" s="7" t="s">
        <v>6</v>
      </c>
      <c r="B8" s="8" t="s">
        <v>7</v>
      </c>
    </row>
    <row r="9" customFormat="false" ht="30" hidden="false" customHeight="true" outlineLevel="0" collapsed="false">
      <c r="A9" s="7" t="s">
        <v>8</v>
      </c>
      <c r="B9" s="9" t="s">
        <v>9</v>
      </c>
    </row>
    <row r="10" customFormat="false" ht="30" hidden="false" customHeight="true" outlineLevel="0" collapsed="false">
      <c r="A10" s="7" t="s">
        <v>10</v>
      </c>
      <c r="B10" s="10" t="s">
        <v>11</v>
      </c>
    </row>
    <row r="11" customFormat="false" ht="30" hidden="false" customHeight="true" outlineLevel="0" collapsed="false">
      <c r="A11" s="7" t="s">
        <v>12</v>
      </c>
      <c r="B11" s="8" t="s">
        <v>13</v>
      </c>
    </row>
    <row r="12" customFormat="false" ht="30" hidden="false" customHeight="true" outlineLevel="0" collapsed="false">
      <c r="A12" s="7" t="s">
        <v>14</v>
      </c>
      <c r="B12" s="10" t="s">
        <v>15</v>
      </c>
    </row>
    <row r="13" customFormat="false" ht="30" hidden="false" customHeight="true" outlineLevel="0" collapsed="false">
      <c r="A13" s="7" t="s">
        <v>16</v>
      </c>
      <c r="B13" s="8" t="s">
        <v>17</v>
      </c>
    </row>
    <row r="14" customFormat="false" ht="70.5" hidden="false" customHeight="true" outlineLevel="0" collapsed="false">
      <c r="A14" s="7" t="s">
        <v>18</v>
      </c>
      <c r="B14" s="10" t="s">
        <v>19</v>
      </c>
    </row>
    <row r="15" customFormat="false" ht="30" hidden="false" customHeight="true" outlineLevel="0" collapsed="false">
      <c r="A15" s="7" t="s">
        <v>20</v>
      </c>
      <c r="B15" s="8" t="s">
        <v>21</v>
      </c>
    </row>
    <row r="16" customFormat="false" ht="30" hidden="false" customHeight="true" outlineLevel="0" collapsed="false">
      <c r="A16" s="7" t="s">
        <v>22</v>
      </c>
      <c r="B16" s="10" t="s">
        <v>23</v>
      </c>
    </row>
    <row r="17" customFormat="false" ht="30" hidden="false" customHeight="true" outlineLevel="0" collapsed="false">
      <c r="A17" s="7" t="s">
        <v>24</v>
      </c>
      <c r="B17" s="10" t="s">
        <v>25</v>
      </c>
    </row>
    <row r="19" customFormat="false" ht="15" hidden="false" customHeight="true" outlineLevel="0" collapsed="false">
      <c r="A19" s="4" t="s">
        <v>26</v>
      </c>
    </row>
    <row r="20" customFormat="false" ht="15" hidden="false" customHeight="true" outlineLevel="0" collapsed="false">
      <c r="A20" s="11" t="s">
        <v>27</v>
      </c>
      <c r="B20" s="12" t="s">
        <v>28</v>
      </c>
    </row>
    <row r="21" customFormat="false" ht="29.25" hidden="false" customHeight="true" outlineLevel="0" collapsed="false">
      <c r="A21" s="11" t="s">
        <v>29</v>
      </c>
      <c r="B21" s="12" t="s">
        <v>30</v>
      </c>
    </row>
    <row r="22" customFormat="false" ht="15" hidden="false" customHeight="true" outlineLevel="0" collapsed="false">
      <c r="A22" s="11" t="s">
        <v>31</v>
      </c>
      <c r="B22" s="12" t="s">
        <v>32</v>
      </c>
    </row>
    <row r="23" customFormat="false" ht="15" hidden="false" customHeight="true" outlineLevel="0" collapsed="false">
      <c r="A23" s="11" t="s">
        <v>33</v>
      </c>
      <c r="B23" s="12" t="s">
        <v>34</v>
      </c>
    </row>
    <row r="24" customFormat="false" ht="15" hidden="false" customHeight="true" outlineLevel="0" collapsed="false">
      <c r="A24" s="11" t="s">
        <v>35</v>
      </c>
      <c r="B24" s="12" t="s">
        <v>36</v>
      </c>
    </row>
    <row r="25" customFormat="false" ht="15" hidden="false" customHeight="true" outlineLevel="0" collapsed="false">
      <c r="A25" s="11" t="s">
        <v>37</v>
      </c>
      <c r="B25" s="12" t="s">
        <v>38</v>
      </c>
    </row>
    <row r="26" customFormat="false" ht="15" hidden="false" customHeight="true" outlineLevel="0" collapsed="false">
      <c r="A26" s="11" t="s">
        <v>39</v>
      </c>
      <c r="B26" s="12" t="s">
        <v>40</v>
      </c>
    </row>
    <row r="27" customFormat="false" ht="15" hidden="false" customHeight="true" outlineLevel="0" collapsed="false">
      <c r="A27" s="11" t="s">
        <v>41</v>
      </c>
      <c r="B27" s="12" t="s">
        <v>42</v>
      </c>
    </row>
  </sheetData>
  <mergeCells count="1">
    <mergeCell ref="A5:F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pane xSplit="0" ySplit="4" topLeftCell="A5" activePane="bottomLeft" state="frozen"/>
      <selection pane="topLeft" activeCell="A1" activeCellId="0" sqref="A1"/>
      <selection pane="bottomLeft" activeCell="C8" activeCellId="0" sqref="C8"/>
    </sheetView>
  </sheetViews>
  <sheetFormatPr defaultColWidth="8.6328125" defaultRowHeight="14.2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50"/>
    <col collapsed="false" customWidth="true" hidden="false" outlineLevel="0" max="4" min="4" style="1" width="12.82"/>
    <col collapsed="false" customWidth="true" hidden="false" outlineLevel="0" max="6" min="5" style="1" width="12"/>
    <col collapsed="false" customWidth="true" hidden="false" outlineLevel="0" max="7" min="7" style="1" width="14"/>
    <col collapsed="false" customWidth="true" hidden="false" outlineLevel="0" max="8" min="8" style="1" width="22"/>
  </cols>
  <sheetData>
    <row r="1" customFormat="false" ht="17.25" hidden="false" customHeight="true" outlineLevel="0" collapsed="false">
      <c r="A1" s="2" t="s">
        <v>43</v>
      </c>
    </row>
    <row r="2" customFormat="false" ht="15" hidden="false" customHeight="true" outlineLevel="0" collapsed="false">
      <c r="A2" s="3" t="s">
        <v>44</v>
      </c>
    </row>
    <row r="4" customFormat="false" ht="15" hidden="false" customHeight="true" outlineLevel="0" collapsed="false">
      <c r="A4" s="13" t="s">
        <v>45</v>
      </c>
      <c r="B4" s="13" t="s">
        <v>46</v>
      </c>
      <c r="C4" s="13" t="s">
        <v>47</v>
      </c>
      <c r="D4" s="13" t="s">
        <v>48</v>
      </c>
      <c r="E4" s="13" t="s">
        <v>49</v>
      </c>
      <c r="F4" s="13" t="s">
        <v>50</v>
      </c>
      <c r="G4" s="13" t="s">
        <v>51</v>
      </c>
      <c r="H4" s="13" t="s">
        <v>52</v>
      </c>
    </row>
    <row r="5" customFormat="false" ht="29.25" hidden="false" customHeight="true" outlineLevel="0" collapsed="false">
      <c r="A5" s="14" t="s">
        <v>53</v>
      </c>
      <c r="B5" s="15" t="s">
        <v>54</v>
      </c>
      <c r="C5" s="16" t="s">
        <v>55</v>
      </c>
      <c r="D5" s="15" t="s">
        <v>56</v>
      </c>
      <c r="E5" s="15" t="s">
        <v>57</v>
      </c>
      <c r="F5" s="14" t="s">
        <v>58</v>
      </c>
      <c r="G5" s="14" t="s">
        <v>59</v>
      </c>
      <c r="H5" s="16"/>
    </row>
    <row r="6" customFormat="false" ht="15" hidden="false" customHeight="true" outlineLevel="0" collapsed="false">
      <c r="A6" s="14" t="s">
        <v>60</v>
      </c>
      <c r="B6" s="15" t="s">
        <v>54</v>
      </c>
      <c r="C6" s="16" t="s">
        <v>61</v>
      </c>
      <c r="D6" s="15" t="s">
        <v>62</v>
      </c>
      <c r="E6" s="15" t="s">
        <v>57</v>
      </c>
      <c r="F6" s="14" t="s">
        <v>58</v>
      </c>
      <c r="G6" s="14" t="s">
        <v>59</v>
      </c>
      <c r="H6" s="16"/>
    </row>
    <row r="7" customFormat="false" ht="29.25" hidden="false" customHeight="true" outlineLevel="0" collapsed="false">
      <c r="A7" s="14" t="s">
        <v>63</v>
      </c>
      <c r="B7" s="15" t="s">
        <v>64</v>
      </c>
      <c r="C7" s="16" t="s">
        <v>65</v>
      </c>
      <c r="D7" s="15" t="s">
        <v>56</v>
      </c>
      <c r="E7" s="15" t="s">
        <v>66</v>
      </c>
      <c r="F7" s="14" t="s">
        <v>67</v>
      </c>
      <c r="G7" s="14" t="s">
        <v>68</v>
      </c>
      <c r="H7" s="16"/>
    </row>
    <row r="8" customFormat="false" ht="29.25" hidden="false" customHeight="true" outlineLevel="0" collapsed="false">
      <c r="A8" s="14" t="s">
        <v>69</v>
      </c>
      <c r="B8" s="15" t="s">
        <v>64</v>
      </c>
      <c r="C8" s="16" t="s">
        <v>70</v>
      </c>
      <c r="D8" s="15" t="s">
        <v>56</v>
      </c>
      <c r="E8" s="15" t="s">
        <v>66</v>
      </c>
      <c r="F8" s="14" t="s">
        <v>67</v>
      </c>
      <c r="G8" s="14" t="s">
        <v>71</v>
      </c>
      <c r="H8" s="16"/>
    </row>
    <row r="9" customFormat="false" ht="15" hidden="false" customHeight="true" outlineLevel="0" collapsed="false">
      <c r="A9" s="14" t="s">
        <v>72</v>
      </c>
      <c r="B9" s="15" t="s">
        <v>73</v>
      </c>
      <c r="C9" s="16" t="s">
        <v>74</v>
      </c>
      <c r="D9" s="15" t="s">
        <v>56</v>
      </c>
      <c r="E9" s="15" t="s">
        <v>57</v>
      </c>
      <c r="F9" s="14" t="s">
        <v>75</v>
      </c>
      <c r="G9" s="14" t="s">
        <v>76</v>
      </c>
      <c r="H9" s="16"/>
    </row>
    <row r="10" customFormat="false" ht="29.25" hidden="false" customHeight="true" outlineLevel="0" collapsed="false">
      <c r="A10" s="14" t="s">
        <v>77</v>
      </c>
      <c r="B10" s="15" t="s">
        <v>73</v>
      </c>
      <c r="C10" s="16" t="s">
        <v>78</v>
      </c>
      <c r="D10" s="15" t="s">
        <v>56</v>
      </c>
      <c r="E10" s="14" t="s">
        <v>79</v>
      </c>
      <c r="F10" s="14" t="s">
        <v>75</v>
      </c>
      <c r="G10" s="14" t="s">
        <v>80</v>
      </c>
      <c r="H10" s="16"/>
    </row>
    <row r="11" customFormat="false" ht="29.25" hidden="false" customHeight="true" outlineLevel="0" collapsed="false">
      <c r="A11" s="14" t="s">
        <v>81</v>
      </c>
      <c r="B11" s="15" t="s">
        <v>82</v>
      </c>
      <c r="C11" s="16" t="s">
        <v>83</v>
      </c>
      <c r="D11" s="15" t="s">
        <v>56</v>
      </c>
      <c r="E11" s="15" t="s">
        <v>57</v>
      </c>
      <c r="F11" s="14" t="s">
        <v>84</v>
      </c>
      <c r="G11" s="14" t="s">
        <v>85</v>
      </c>
      <c r="H11" s="16"/>
    </row>
    <row r="12" customFormat="false" ht="29.25" hidden="false" customHeight="true" outlineLevel="0" collapsed="false">
      <c r="A12" s="14" t="s">
        <v>86</v>
      </c>
      <c r="B12" s="15" t="s">
        <v>82</v>
      </c>
      <c r="C12" s="16" t="s">
        <v>87</v>
      </c>
      <c r="D12" s="15" t="s">
        <v>56</v>
      </c>
      <c r="E12" s="14" t="s">
        <v>79</v>
      </c>
      <c r="F12" s="14" t="s">
        <v>84</v>
      </c>
      <c r="G12" s="14" t="s">
        <v>88</v>
      </c>
      <c r="H12" s="16"/>
    </row>
    <row r="13" customFormat="false" ht="29.25" hidden="false" customHeight="true" outlineLevel="0" collapsed="false">
      <c r="A13" s="14" t="s">
        <v>89</v>
      </c>
      <c r="B13" s="15" t="s">
        <v>82</v>
      </c>
      <c r="C13" s="16" t="s">
        <v>90</v>
      </c>
      <c r="D13" s="15" t="s">
        <v>56</v>
      </c>
      <c r="E13" s="15" t="s">
        <v>91</v>
      </c>
      <c r="F13" s="14" t="s">
        <v>92</v>
      </c>
      <c r="G13" s="14" t="s">
        <v>85</v>
      </c>
      <c r="H13" s="16" t="s">
        <v>93</v>
      </c>
    </row>
    <row r="14" customFormat="false" ht="15" hidden="false" customHeight="true" outlineLevel="0" collapsed="false">
      <c r="A14" s="14" t="s">
        <v>94</v>
      </c>
      <c r="B14" s="14" t="s">
        <v>95</v>
      </c>
      <c r="C14" s="16" t="s">
        <v>96</v>
      </c>
      <c r="D14" s="15" t="s">
        <v>62</v>
      </c>
      <c r="E14" s="15" t="s">
        <v>66</v>
      </c>
      <c r="F14" s="14" t="s">
        <v>97</v>
      </c>
      <c r="G14" s="14" t="s">
        <v>98</v>
      </c>
      <c r="H14" s="16"/>
    </row>
    <row r="15" customFormat="false" ht="29.25" hidden="false" customHeight="true" outlineLevel="0" collapsed="false">
      <c r="A15" s="14" t="s">
        <v>99</v>
      </c>
      <c r="B15" s="15" t="s">
        <v>100</v>
      </c>
      <c r="C15" s="16" t="s">
        <v>101</v>
      </c>
      <c r="D15" s="15" t="s">
        <v>62</v>
      </c>
      <c r="E15" s="15" t="s">
        <v>57</v>
      </c>
      <c r="F15" s="14" t="s">
        <v>102</v>
      </c>
      <c r="G15" s="14" t="s">
        <v>103</v>
      </c>
      <c r="H15" s="16"/>
    </row>
    <row r="16" customFormat="false" ht="29.25" hidden="false" customHeight="true" outlineLevel="0" collapsed="false">
      <c r="A16" s="14" t="s">
        <v>104</v>
      </c>
      <c r="B16" s="15" t="s">
        <v>105</v>
      </c>
      <c r="C16" s="16" t="s">
        <v>106</v>
      </c>
      <c r="D16" s="15" t="s">
        <v>107</v>
      </c>
      <c r="E16" s="15" t="s">
        <v>66</v>
      </c>
      <c r="F16" s="14" t="s">
        <v>108</v>
      </c>
      <c r="G16" s="14" t="s">
        <v>76</v>
      </c>
      <c r="H16" s="16" t="s">
        <v>109</v>
      </c>
    </row>
    <row r="17" customFormat="false" ht="29.25" hidden="false" customHeight="true" outlineLevel="0" collapsed="false">
      <c r="A17" s="14" t="s">
        <v>110</v>
      </c>
      <c r="B17" s="14" t="s">
        <v>111</v>
      </c>
      <c r="C17" s="16" t="s">
        <v>112</v>
      </c>
      <c r="D17" s="15" t="s">
        <v>56</v>
      </c>
      <c r="E17" s="14" t="s">
        <v>79</v>
      </c>
      <c r="F17" s="14" t="s">
        <v>113</v>
      </c>
      <c r="G17" s="14" t="s">
        <v>71</v>
      </c>
      <c r="H17" s="16"/>
    </row>
    <row r="18" customFormat="false" ht="29.25" hidden="false" customHeight="true" outlineLevel="0" collapsed="false">
      <c r="A18" s="14" t="s">
        <v>114</v>
      </c>
      <c r="B18" s="14" t="s">
        <v>111</v>
      </c>
      <c r="C18" s="16" t="s">
        <v>115</v>
      </c>
      <c r="D18" s="15" t="s">
        <v>62</v>
      </c>
      <c r="E18" s="15" t="s">
        <v>116</v>
      </c>
      <c r="F18" s="14" t="s">
        <v>113</v>
      </c>
      <c r="G18" s="14" t="s">
        <v>117</v>
      </c>
      <c r="H18" s="16"/>
    </row>
    <row r="19" customFormat="false" ht="29.25" hidden="false" customHeight="true" outlineLevel="0" collapsed="false">
      <c r="A19" s="14" t="s">
        <v>118</v>
      </c>
      <c r="B19" s="15" t="s">
        <v>119</v>
      </c>
      <c r="C19" s="16" t="s">
        <v>120</v>
      </c>
      <c r="D19" s="15" t="s">
        <v>56</v>
      </c>
      <c r="E19" s="15" t="s">
        <v>57</v>
      </c>
      <c r="F19" s="14" t="s">
        <v>121</v>
      </c>
      <c r="G19" s="14" t="s">
        <v>122</v>
      </c>
      <c r="H19" s="16"/>
    </row>
    <row r="20" customFormat="false" ht="29.25" hidden="false" customHeight="true" outlineLevel="0" collapsed="false">
      <c r="A20" s="14" t="s">
        <v>123</v>
      </c>
      <c r="B20" s="15" t="s">
        <v>82</v>
      </c>
      <c r="C20" s="16" t="s">
        <v>124</v>
      </c>
      <c r="D20" s="15" t="s">
        <v>56</v>
      </c>
      <c r="E20" s="15" t="s">
        <v>91</v>
      </c>
      <c r="F20" s="14" t="s">
        <v>121</v>
      </c>
      <c r="G20" s="14" t="s">
        <v>85</v>
      </c>
      <c r="H20" s="16" t="s">
        <v>93</v>
      </c>
    </row>
    <row r="21" customFormat="false" ht="29.25" hidden="false" customHeight="true" outlineLevel="0" collapsed="false">
      <c r="A21" s="14" t="s">
        <v>125</v>
      </c>
      <c r="B21" s="15" t="s">
        <v>126</v>
      </c>
      <c r="C21" s="17" t="s">
        <v>127</v>
      </c>
      <c r="D21" s="15" t="s">
        <v>62</v>
      </c>
      <c r="E21" s="14" t="s">
        <v>79</v>
      </c>
      <c r="F21" s="14" t="s">
        <v>128</v>
      </c>
      <c r="G21" s="14" t="s">
        <v>129</v>
      </c>
      <c r="H21"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pane xSplit="0" ySplit="4" topLeftCell="A5" activePane="bottomLeft" state="frozen"/>
      <selection pane="topLeft" activeCell="A1" activeCellId="0" sqref="A1"/>
      <selection pane="bottomLeft" activeCell="B3" activeCellId="0" sqref="B3"/>
    </sheetView>
  </sheetViews>
  <sheetFormatPr defaultColWidth="8.6328125" defaultRowHeight="14.25" zeroHeight="false" outlineLevelRow="0" outlineLevelCol="0"/>
  <cols>
    <col collapsed="false" customWidth="true" hidden="false" outlineLevel="0" max="1" min="1" style="1" width="15"/>
    <col collapsed="false" customWidth="true" hidden="false" outlineLevel="0" max="2" min="2" style="1" width="34.82"/>
    <col collapsed="false" customWidth="true" hidden="false" outlineLevel="0" max="3" min="3" style="1" width="11"/>
    <col collapsed="false" customWidth="true" hidden="false" outlineLevel="0" max="4" min="4" style="1" width="9"/>
    <col collapsed="false" customWidth="true" hidden="false" outlineLevel="0" max="5" min="5" style="1" width="18"/>
    <col collapsed="false" customWidth="true" hidden="false" outlineLevel="0" max="6" min="6" style="1" width="13"/>
    <col collapsed="false" customWidth="true" hidden="false" outlineLevel="0" max="7" min="7" style="1" width="16"/>
    <col collapsed="false" customWidth="true" hidden="false" outlineLevel="0" max="8" min="8" style="1" width="40"/>
  </cols>
  <sheetData>
    <row r="1" customFormat="false" ht="17.25" hidden="false" customHeight="true" outlineLevel="0" collapsed="false">
      <c r="A1" s="2" t="s">
        <v>130</v>
      </c>
    </row>
    <row r="2" customFormat="false" ht="15" hidden="false" customHeight="true" outlineLevel="0" collapsed="false">
      <c r="A2" s="18" t="s">
        <v>131</v>
      </c>
    </row>
    <row r="4" customFormat="false" ht="15" hidden="false" customHeight="true" outlineLevel="0" collapsed="false">
      <c r="A4" s="13" t="s">
        <v>132</v>
      </c>
      <c r="B4" s="13" t="s">
        <v>133</v>
      </c>
      <c r="C4" s="13" t="s">
        <v>134</v>
      </c>
      <c r="D4" s="13" t="s">
        <v>135</v>
      </c>
      <c r="E4" s="13" t="s">
        <v>136</v>
      </c>
      <c r="F4" s="13" t="s">
        <v>137</v>
      </c>
      <c r="G4" s="13" t="s">
        <v>138</v>
      </c>
      <c r="H4" s="13" t="s">
        <v>52</v>
      </c>
    </row>
    <row r="5" customFormat="false" ht="15" hidden="false" customHeight="true" outlineLevel="0" collapsed="false">
      <c r="A5" s="14" t="s">
        <v>139</v>
      </c>
      <c r="B5" s="15" t="s">
        <v>140</v>
      </c>
      <c r="C5" s="15" t="s">
        <v>141</v>
      </c>
      <c r="D5" s="14" t="s">
        <v>142</v>
      </c>
      <c r="E5" s="15" t="s">
        <v>143</v>
      </c>
      <c r="F5" s="19" t="n">
        <v>45621</v>
      </c>
      <c r="G5" s="14"/>
      <c r="H5" s="17"/>
    </row>
    <row r="6" customFormat="false" ht="15" hidden="false" customHeight="true" outlineLevel="0" collapsed="false">
      <c r="A6" s="14" t="s">
        <v>144</v>
      </c>
      <c r="B6" s="15" t="s">
        <v>145</v>
      </c>
      <c r="C6" s="15" t="s">
        <v>146</v>
      </c>
      <c r="D6" s="14" t="s">
        <v>142</v>
      </c>
      <c r="E6" s="15" t="s">
        <v>143</v>
      </c>
      <c r="F6" s="14" t="s">
        <v>147</v>
      </c>
      <c r="G6" s="14" t="s">
        <v>148</v>
      </c>
      <c r="H6" s="17"/>
    </row>
    <row r="7" customFormat="false" ht="15" hidden="false" customHeight="true" outlineLevel="0" collapsed="false">
      <c r="A7" s="14" t="s">
        <v>149</v>
      </c>
      <c r="B7" s="15" t="s">
        <v>150</v>
      </c>
      <c r="C7" s="15" t="s">
        <v>146</v>
      </c>
      <c r="D7" s="14" t="s">
        <v>151</v>
      </c>
      <c r="E7" s="15" t="s">
        <v>143</v>
      </c>
      <c r="F7" s="14" t="s">
        <v>152</v>
      </c>
      <c r="G7" s="14" t="s">
        <v>63</v>
      </c>
      <c r="H7" s="17"/>
    </row>
    <row r="8" customFormat="false" ht="29.25" hidden="false" customHeight="true" outlineLevel="0" collapsed="false">
      <c r="A8" s="14" t="s">
        <v>153</v>
      </c>
      <c r="B8" s="15" t="s">
        <v>154</v>
      </c>
      <c r="C8" s="15" t="s">
        <v>146</v>
      </c>
      <c r="D8" s="14" t="s">
        <v>155</v>
      </c>
      <c r="E8" s="15" t="s">
        <v>143</v>
      </c>
      <c r="F8" s="14" t="s">
        <v>156</v>
      </c>
      <c r="G8" s="14" t="s">
        <v>157</v>
      </c>
      <c r="H8" s="17" t="s">
        <v>158</v>
      </c>
    </row>
    <row r="9" customFormat="false" ht="15" hidden="false" customHeight="true" outlineLevel="0" collapsed="false">
      <c r="A9" s="14" t="s">
        <v>85</v>
      </c>
      <c r="B9" s="15" t="s">
        <v>159</v>
      </c>
      <c r="C9" s="15" t="s">
        <v>146</v>
      </c>
      <c r="D9" s="14" t="s">
        <v>160</v>
      </c>
      <c r="E9" s="15" t="s">
        <v>143</v>
      </c>
      <c r="F9" s="20" t="n">
        <v>45621</v>
      </c>
      <c r="G9" s="14" t="s">
        <v>161</v>
      </c>
      <c r="H9" s="17"/>
    </row>
    <row r="10" customFormat="false" ht="15" hidden="false" customHeight="true" outlineLevel="0" collapsed="false">
      <c r="A10" s="14" t="s">
        <v>162</v>
      </c>
      <c r="B10" s="14" t="s">
        <v>163</v>
      </c>
      <c r="C10" s="15" t="s">
        <v>146</v>
      </c>
      <c r="D10" s="14" t="s">
        <v>164</v>
      </c>
      <c r="E10" s="15" t="s">
        <v>143</v>
      </c>
      <c r="F10" s="14" t="s">
        <v>165</v>
      </c>
      <c r="G10" s="14" t="s">
        <v>94</v>
      </c>
      <c r="H10" s="17"/>
    </row>
    <row r="11" customFormat="false" ht="15" hidden="false" customHeight="true" outlineLevel="0" collapsed="false">
      <c r="A11" s="14" t="s">
        <v>166</v>
      </c>
      <c r="B11" s="15" t="s">
        <v>167</v>
      </c>
      <c r="C11" s="15" t="s">
        <v>146</v>
      </c>
      <c r="D11" s="14" t="s">
        <v>164</v>
      </c>
      <c r="E11" s="15" t="s">
        <v>143</v>
      </c>
      <c r="F11" s="14" t="s">
        <v>168</v>
      </c>
      <c r="G11" s="14" t="s">
        <v>99</v>
      </c>
      <c r="H11" s="17"/>
    </row>
    <row r="12" customFormat="false" ht="15" hidden="false" customHeight="true" outlineLevel="0" collapsed="false">
      <c r="A12" s="14" t="s">
        <v>169</v>
      </c>
      <c r="B12" s="15" t="s">
        <v>170</v>
      </c>
      <c r="C12" s="15" t="s">
        <v>146</v>
      </c>
      <c r="D12" s="14" t="s">
        <v>164</v>
      </c>
      <c r="E12" s="15" t="s">
        <v>143</v>
      </c>
      <c r="F12" s="14" t="s">
        <v>171</v>
      </c>
      <c r="G12" s="14" t="s">
        <v>118</v>
      </c>
      <c r="H12" s="17"/>
    </row>
    <row r="13" customFormat="false" ht="15" hidden="false" customHeight="true" outlineLevel="0" collapsed="false">
      <c r="A13" s="14" t="s">
        <v>71</v>
      </c>
      <c r="B13" s="15" t="s">
        <v>172</v>
      </c>
      <c r="C13" s="14" t="s">
        <v>173</v>
      </c>
      <c r="D13" s="14" t="s">
        <v>160</v>
      </c>
      <c r="E13" s="14" t="s">
        <v>174</v>
      </c>
      <c r="F13" s="14" t="s">
        <v>175</v>
      </c>
      <c r="G13" s="14" t="s">
        <v>176</v>
      </c>
      <c r="H13" s="17"/>
    </row>
    <row r="14" customFormat="false" ht="29.25" hidden="false" customHeight="true" outlineLevel="0" collapsed="false">
      <c r="A14" s="14" t="s">
        <v>80</v>
      </c>
      <c r="B14" s="15" t="s">
        <v>177</v>
      </c>
      <c r="C14" s="14" t="s">
        <v>173</v>
      </c>
      <c r="D14" s="14" t="s">
        <v>151</v>
      </c>
      <c r="E14" s="14" t="s">
        <v>174</v>
      </c>
      <c r="F14" s="14" t="s">
        <v>178</v>
      </c>
      <c r="G14" s="14" t="s">
        <v>77</v>
      </c>
      <c r="H14" s="17" t="s">
        <v>179</v>
      </c>
    </row>
    <row r="15" customFormat="false" ht="15" hidden="false" customHeight="true" outlineLevel="0" collapsed="false">
      <c r="A15" s="14" t="s">
        <v>88</v>
      </c>
      <c r="B15" s="15" t="s">
        <v>180</v>
      </c>
      <c r="C15" s="14" t="s">
        <v>173</v>
      </c>
      <c r="D15" s="14" t="s">
        <v>142</v>
      </c>
      <c r="E15" s="14" t="s">
        <v>174</v>
      </c>
      <c r="F15" s="14" t="s">
        <v>181</v>
      </c>
      <c r="G15" s="14" t="s">
        <v>86</v>
      </c>
      <c r="H15" s="17"/>
    </row>
    <row r="16" customFormat="false" ht="15" hidden="false" customHeight="true" outlineLevel="0" collapsed="false">
      <c r="A16" s="14" t="s">
        <v>117</v>
      </c>
      <c r="B16" s="15" t="s">
        <v>182</v>
      </c>
      <c r="C16" s="14" t="s">
        <v>173</v>
      </c>
      <c r="D16" s="14" t="s">
        <v>164</v>
      </c>
      <c r="E16" s="14" t="s">
        <v>174</v>
      </c>
      <c r="F16" s="14" t="s">
        <v>183</v>
      </c>
      <c r="G16" s="14" t="s">
        <v>114</v>
      </c>
      <c r="H16" s="17"/>
    </row>
    <row r="17" customFormat="false" ht="15" hidden="false" customHeight="true" outlineLevel="0" collapsed="false">
      <c r="A17" s="14" t="s">
        <v>129</v>
      </c>
      <c r="B17" s="15" t="s">
        <v>184</v>
      </c>
      <c r="C17" s="14" t="s">
        <v>173</v>
      </c>
      <c r="D17" s="14" t="s">
        <v>164</v>
      </c>
      <c r="E17" s="14" t="s">
        <v>174</v>
      </c>
      <c r="F17" s="14" t="s">
        <v>147</v>
      </c>
      <c r="G17" s="14" t="s">
        <v>125</v>
      </c>
      <c r="H17"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E26" activeCellId="0" sqref="E26"/>
    </sheetView>
  </sheetViews>
  <sheetFormatPr defaultColWidth="8.6328125" defaultRowHeight="14.2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34"/>
    <col collapsed="false" customWidth="true" hidden="false" outlineLevel="0" max="4" min="4" style="1" width="15"/>
    <col collapsed="false" customWidth="true" hidden="false" outlineLevel="0" max="6" min="5" style="1" width="12"/>
    <col collapsed="false" customWidth="true" hidden="false" outlineLevel="0" max="7" min="7" style="1" width="10"/>
    <col collapsed="false" customWidth="true" hidden="false" outlineLevel="0" max="8" min="8" style="1" width="9"/>
    <col collapsed="false" customWidth="true" hidden="false" outlineLevel="0" max="9" min="9" style="1" width="10"/>
  </cols>
  <sheetData>
    <row r="1" customFormat="false" ht="21" hidden="false" customHeight="true" outlineLevel="0" collapsed="false">
      <c r="A1" s="21" t="s">
        <v>185</v>
      </c>
    </row>
    <row r="2" customFormat="false" ht="15" hidden="false" customHeight="true" outlineLevel="0" collapsed="false">
      <c r="A2" s="22" t="s">
        <v>186</v>
      </c>
    </row>
    <row r="4" customFormat="false" ht="15" hidden="false" customHeight="true" outlineLevel="0" collapsed="false">
      <c r="A4" s="23" t="s">
        <v>187</v>
      </c>
      <c r="B4" s="13" t="s">
        <v>188</v>
      </c>
      <c r="C4" s="13" t="s">
        <v>189</v>
      </c>
      <c r="D4" s="13" t="s">
        <v>190</v>
      </c>
      <c r="E4" s="13" t="s">
        <v>191</v>
      </c>
      <c r="F4" s="13" t="s">
        <v>192</v>
      </c>
      <c r="G4" s="13" t="s">
        <v>193</v>
      </c>
      <c r="H4" s="13" t="s">
        <v>194</v>
      </c>
      <c r="I4" s="13" t="s">
        <v>195</v>
      </c>
    </row>
    <row r="5" customFormat="false" ht="15" hidden="false" customHeight="true" outlineLevel="0" collapsed="false">
      <c r="A5" s="24" t="n">
        <v>1</v>
      </c>
      <c r="B5" s="25" t="s">
        <v>196</v>
      </c>
      <c r="C5" s="10" t="s">
        <v>197</v>
      </c>
      <c r="D5" s="25" t="s">
        <v>66</v>
      </c>
      <c r="E5" s="26" t="s">
        <v>198</v>
      </c>
      <c r="F5" s="26" t="s">
        <v>199</v>
      </c>
      <c r="G5" s="24" t="n">
        <f aca="false">F5-E5+1</f>
        <v>39</v>
      </c>
      <c r="H5" s="27" t="n">
        <v>1</v>
      </c>
      <c r="I5" s="25" t="s">
        <v>200</v>
      </c>
    </row>
    <row r="6" customFormat="false" ht="15" hidden="false" customHeight="true" outlineLevel="0" collapsed="false">
      <c r="A6" s="24" t="n">
        <v>2</v>
      </c>
      <c r="B6" s="25" t="s">
        <v>196</v>
      </c>
      <c r="C6" s="10" t="s">
        <v>201</v>
      </c>
      <c r="D6" s="24" t="s">
        <v>202</v>
      </c>
      <c r="E6" s="26" t="s">
        <v>102</v>
      </c>
      <c r="F6" s="26" t="s">
        <v>203</v>
      </c>
      <c r="G6" s="24" t="n">
        <f aca="false">F6-E6+1</f>
        <v>14</v>
      </c>
      <c r="H6" s="27" t="n">
        <v>1</v>
      </c>
      <c r="I6" s="25" t="s">
        <v>200</v>
      </c>
    </row>
    <row r="7" customFormat="false" ht="15" hidden="false" customHeight="true" outlineLevel="0" collapsed="false">
      <c r="A7" s="24" t="n">
        <v>3</v>
      </c>
      <c r="B7" s="25" t="s">
        <v>204</v>
      </c>
      <c r="C7" s="10" t="s">
        <v>205</v>
      </c>
      <c r="D7" s="25" t="s">
        <v>57</v>
      </c>
      <c r="E7" s="26" t="s">
        <v>206</v>
      </c>
      <c r="F7" s="26" t="s">
        <v>207</v>
      </c>
      <c r="G7" s="24" t="n">
        <f aca="false">F7-E7+1</f>
        <v>39</v>
      </c>
      <c r="H7" s="27" t="n">
        <v>1</v>
      </c>
      <c r="I7" s="25" t="s">
        <v>200</v>
      </c>
    </row>
    <row r="8" customFormat="false" ht="15" hidden="false" customHeight="true" outlineLevel="0" collapsed="false">
      <c r="A8" s="24" t="n">
        <v>4</v>
      </c>
      <c r="B8" s="25" t="s">
        <v>204</v>
      </c>
      <c r="C8" s="10" t="s">
        <v>208</v>
      </c>
      <c r="D8" s="25" t="s">
        <v>57</v>
      </c>
      <c r="E8" s="26" t="s">
        <v>206</v>
      </c>
      <c r="F8" s="26" t="s">
        <v>209</v>
      </c>
      <c r="G8" s="24" t="n">
        <f aca="false">F8-E8+1</f>
        <v>53</v>
      </c>
      <c r="H8" s="27" t="n">
        <v>1</v>
      </c>
      <c r="I8" s="25" t="s">
        <v>200</v>
      </c>
    </row>
    <row r="9" customFormat="false" ht="15" hidden="false" customHeight="true" outlineLevel="0" collapsed="false">
      <c r="A9" s="24" t="n">
        <v>5</v>
      </c>
      <c r="B9" s="25" t="s">
        <v>204</v>
      </c>
      <c r="C9" s="8" t="s">
        <v>210</v>
      </c>
      <c r="D9" s="24" t="s">
        <v>211</v>
      </c>
      <c r="E9" s="26" t="s">
        <v>212</v>
      </c>
      <c r="F9" s="26" t="s">
        <v>168</v>
      </c>
      <c r="G9" s="24" t="n">
        <f aca="false">F9-E9+1</f>
        <v>46</v>
      </c>
      <c r="H9" s="27" t="n">
        <v>1</v>
      </c>
      <c r="I9" s="25" t="s">
        <v>200</v>
      </c>
    </row>
    <row r="10" customFormat="false" ht="15" hidden="false" customHeight="true" outlineLevel="0" collapsed="false">
      <c r="A10" s="24" t="n">
        <v>6</v>
      </c>
      <c r="B10" s="25" t="s">
        <v>204</v>
      </c>
      <c r="C10" s="10" t="s">
        <v>213</v>
      </c>
      <c r="D10" s="24" t="s">
        <v>202</v>
      </c>
      <c r="E10" s="26" t="s">
        <v>214</v>
      </c>
      <c r="F10" s="26" t="s">
        <v>171</v>
      </c>
      <c r="G10" s="24" t="n">
        <f aca="false">F10-E10+1</f>
        <v>4</v>
      </c>
      <c r="H10" s="27" t="n">
        <v>1</v>
      </c>
      <c r="I10" s="25" t="s">
        <v>200</v>
      </c>
    </row>
    <row r="11" customFormat="false" ht="15" hidden="false" customHeight="true" outlineLevel="0" collapsed="false">
      <c r="A11" s="24" t="n">
        <v>7</v>
      </c>
      <c r="B11" s="25" t="s">
        <v>215</v>
      </c>
      <c r="C11" s="10" t="s">
        <v>216</v>
      </c>
      <c r="D11" s="25" t="s">
        <v>57</v>
      </c>
      <c r="E11" s="26" t="s">
        <v>217</v>
      </c>
      <c r="F11" s="26" t="s">
        <v>218</v>
      </c>
      <c r="G11" s="24" t="n">
        <f aca="false">F11-E11+1</f>
        <v>54</v>
      </c>
      <c r="H11" s="27" t="n">
        <v>1</v>
      </c>
      <c r="I11" s="25" t="s">
        <v>200</v>
      </c>
    </row>
    <row r="12" customFormat="false" ht="15" hidden="false" customHeight="true" outlineLevel="0" collapsed="false">
      <c r="A12" s="24" t="n">
        <v>8</v>
      </c>
      <c r="B12" s="25" t="s">
        <v>215</v>
      </c>
      <c r="C12" s="8" t="s">
        <v>219</v>
      </c>
      <c r="D12" s="24" t="s">
        <v>211</v>
      </c>
      <c r="E12" s="26" t="s">
        <v>217</v>
      </c>
      <c r="F12" s="26" t="s">
        <v>220</v>
      </c>
      <c r="G12" s="24" t="n">
        <f aca="false">F12-E12+1</f>
        <v>68</v>
      </c>
      <c r="H12" s="27" t="n">
        <v>0.95</v>
      </c>
      <c r="I12" s="25" t="s">
        <v>221</v>
      </c>
    </row>
    <row r="13" customFormat="false" ht="15" hidden="false" customHeight="true" outlineLevel="0" collapsed="false">
      <c r="A13" s="24" t="n">
        <v>9</v>
      </c>
      <c r="B13" s="25" t="s">
        <v>215</v>
      </c>
      <c r="C13" s="10" t="s">
        <v>222</v>
      </c>
      <c r="D13" s="24" t="s">
        <v>202</v>
      </c>
      <c r="E13" s="26" t="s">
        <v>223</v>
      </c>
      <c r="F13" s="26" t="s">
        <v>224</v>
      </c>
      <c r="G13" s="24" t="n">
        <f aca="false">F13-E13+1</f>
        <v>5</v>
      </c>
      <c r="H13" s="27" t="n">
        <v>0.3</v>
      </c>
      <c r="I13" s="25" t="s">
        <v>221</v>
      </c>
    </row>
    <row r="14" customFormat="false" ht="15" hidden="false" customHeight="true" outlineLevel="0" collapsed="false">
      <c r="A14" s="24" t="n">
        <v>10</v>
      </c>
      <c r="B14" s="25" t="s">
        <v>215</v>
      </c>
      <c r="C14" s="10" t="s">
        <v>225</v>
      </c>
      <c r="D14" s="24" t="s">
        <v>202</v>
      </c>
      <c r="E14" s="26" t="s">
        <v>226</v>
      </c>
      <c r="F14" s="26" t="s">
        <v>227</v>
      </c>
      <c r="G14" s="24" t="n">
        <f aca="false">F14-E14+1</f>
        <v>5</v>
      </c>
      <c r="H14" s="27" t="n">
        <v>0.1</v>
      </c>
      <c r="I14" s="25" t="s">
        <v>221</v>
      </c>
    </row>
    <row r="15" customFormat="false" ht="15" hidden="false" customHeight="true" outlineLevel="0" collapsed="false">
      <c r="A15" s="24" t="n">
        <v>11</v>
      </c>
      <c r="B15" s="25" t="s">
        <v>228</v>
      </c>
      <c r="C15" s="10" t="s">
        <v>229</v>
      </c>
      <c r="D15" s="25" t="s">
        <v>230</v>
      </c>
      <c r="E15" s="26" t="s">
        <v>231</v>
      </c>
      <c r="F15" s="26" t="s">
        <v>232</v>
      </c>
      <c r="G15" s="24" t="n">
        <f aca="false">F15-E15+1</f>
        <v>82</v>
      </c>
      <c r="H15" s="27" t="n">
        <v>0</v>
      </c>
      <c r="I15" s="25" t="s">
        <v>233</v>
      </c>
    </row>
    <row r="16" customFormat="false" ht="15" hidden="false" customHeight="true" outlineLevel="0" collapsed="false">
      <c r="A16" s="24" t="n">
        <v>12</v>
      </c>
      <c r="B16" s="25" t="s">
        <v>228</v>
      </c>
      <c r="C16" s="10" t="s">
        <v>234</v>
      </c>
      <c r="D16" s="25" t="s">
        <v>230</v>
      </c>
      <c r="E16" s="26" t="s">
        <v>235</v>
      </c>
      <c r="F16" s="26" t="s">
        <v>236</v>
      </c>
      <c r="G16" s="24" t="n">
        <f aca="false">F16-E16+1</f>
        <v>82</v>
      </c>
      <c r="H16" s="27" t="n">
        <v>0</v>
      </c>
      <c r="I16" s="25" t="s">
        <v>233</v>
      </c>
    </row>
    <row r="17" customFormat="false" ht="15" hidden="false" customHeight="true" outlineLevel="0" collapsed="false">
      <c r="A17" s="24" t="n">
        <v>13</v>
      </c>
      <c r="B17" s="25" t="s">
        <v>228</v>
      </c>
      <c r="C17" s="8" t="s">
        <v>237</v>
      </c>
      <c r="D17" s="25" t="s">
        <v>230</v>
      </c>
      <c r="E17" s="26" t="s">
        <v>235</v>
      </c>
      <c r="F17" s="26" t="s">
        <v>238</v>
      </c>
      <c r="G17" s="24" t="n">
        <f aca="false">F17-E17+1</f>
        <v>89</v>
      </c>
      <c r="H17" s="27" t="n">
        <v>0</v>
      </c>
      <c r="I17" s="25" t="s">
        <v>233</v>
      </c>
    </row>
    <row r="18" customFormat="false" ht="15" hidden="false" customHeight="true" outlineLevel="0" collapsed="false">
      <c r="A18" s="24" t="n">
        <v>14</v>
      </c>
      <c r="B18" s="25" t="s">
        <v>239</v>
      </c>
      <c r="C18" s="10" t="s">
        <v>240</v>
      </c>
      <c r="D18" s="25" t="s">
        <v>241</v>
      </c>
      <c r="E18" s="26" t="s">
        <v>242</v>
      </c>
      <c r="F18" s="26" t="s">
        <v>243</v>
      </c>
      <c r="G18" s="24" t="n">
        <f aca="false">F18-E18+1</f>
        <v>33</v>
      </c>
      <c r="H18" s="27" t="n">
        <v>0</v>
      </c>
      <c r="I18" s="25" t="s">
        <v>233</v>
      </c>
    </row>
    <row r="19" customFormat="false" ht="15" hidden="false" customHeight="true" outlineLevel="0" collapsed="false">
      <c r="A19" s="24" t="n">
        <v>15</v>
      </c>
      <c r="B19" s="25" t="s">
        <v>244</v>
      </c>
      <c r="C19" s="10" t="s">
        <v>245</v>
      </c>
      <c r="D19" s="25" t="s">
        <v>241</v>
      </c>
      <c r="E19" s="26" t="s">
        <v>246</v>
      </c>
      <c r="F19" s="26" t="s">
        <v>247</v>
      </c>
      <c r="G19" s="24" t="n">
        <f aca="false">F19-E19+1</f>
        <v>40</v>
      </c>
      <c r="H19" s="27" t="n">
        <v>0</v>
      </c>
      <c r="I19" s="25" t="s">
        <v>233</v>
      </c>
    </row>
    <row r="20" customFormat="false" ht="15" hidden="false" customHeight="true" outlineLevel="0" collapsed="false">
      <c r="A20" s="24" t="n">
        <v>16</v>
      </c>
      <c r="B20" s="25" t="s">
        <v>248</v>
      </c>
      <c r="C20" s="10" t="s">
        <v>249</v>
      </c>
      <c r="D20" s="25" t="s">
        <v>241</v>
      </c>
      <c r="E20" s="26" t="s">
        <v>250</v>
      </c>
      <c r="F20" s="26" t="s">
        <v>251</v>
      </c>
      <c r="G20" s="24" t="n">
        <f aca="false">F20-E20+1</f>
        <v>61</v>
      </c>
      <c r="H20" s="27" t="n">
        <v>0</v>
      </c>
      <c r="I20" s="25" t="s">
        <v>233</v>
      </c>
    </row>
    <row r="21" customFormat="false" ht="15" hidden="false" customHeight="true" outlineLevel="0" collapsed="false">
      <c r="A21" s="24" t="n">
        <v>17</v>
      </c>
      <c r="B21" s="25" t="s">
        <v>252</v>
      </c>
      <c r="C21" s="10" t="s">
        <v>253</v>
      </c>
      <c r="D21" s="24" t="s">
        <v>202</v>
      </c>
      <c r="E21" s="26" t="s">
        <v>254</v>
      </c>
      <c r="F21" s="26" t="s">
        <v>255</v>
      </c>
      <c r="G21" s="24" t="n">
        <f aca="false">F21-E21+1</f>
        <v>5</v>
      </c>
      <c r="H21" s="27" t="n">
        <v>0</v>
      </c>
      <c r="I21" s="25" t="s">
        <v>233</v>
      </c>
    </row>
    <row r="22" customFormat="false" ht="15" hidden="false" customHeight="true" outlineLevel="0" collapsed="false">
      <c r="A22" s="24" t="n">
        <v>18</v>
      </c>
      <c r="B22" s="25" t="s">
        <v>256</v>
      </c>
      <c r="C22" s="10" t="s">
        <v>257</v>
      </c>
      <c r="D22" s="25" t="s">
        <v>258</v>
      </c>
      <c r="E22" s="26" t="s">
        <v>259</v>
      </c>
      <c r="F22" s="26" t="s">
        <v>260</v>
      </c>
      <c r="G22" s="24" t="n">
        <f aca="false">F22-E22+1</f>
        <v>9</v>
      </c>
      <c r="H22" s="27" t="n">
        <v>0</v>
      </c>
      <c r="I22" s="25" t="s">
        <v>233</v>
      </c>
    </row>
    <row r="24" customFormat="false" ht="15" hidden="false" customHeight="true" outlineLevel="0" collapsed="false">
      <c r="B24" s="4" t="s">
        <v>261</v>
      </c>
      <c r="C24" s="28" t="n">
        <f aca="false">AVERAGE(H5:H22)</f>
        <v>0.463888888888889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E21" activeCellId="0" sqref="E21"/>
    </sheetView>
  </sheetViews>
  <sheetFormatPr defaultColWidth="8.6328125" defaultRowHeight="14.25" zeroHeight="false" outlineLevelRow="0" outlineLevelCol="0"/>
  <cols>
    <col collapsed="false" customWidth="true" hidden="false" outlineLevel="0" max="1" min="1" style="1" width="16"/>
    <col collapsed="false" customWidth="true" hidden="false" outlineLevel="0" max="2" min="2" style="1" width="8"/>
    <col collapsed="false" customWidth="true" hidden="false" outlineLevel="0" max="3" min="3" style="1" width="14"/>
    <col collapsed="false" customWidth="true" hidden="false" outlineLevel="0" max="4" min="4" style="1" width="30"/>
    <col collapsed="false" customWidth="true" hidden="false" outlineLevel="0" max="6" min="5" style="1" width="14"/>
    <col collapsed="false" customWidth="true" hidden="false" outlineLevel="0" max="7" min="7" style="1" width="12"/>
    <col collapsed="false" customWidth="true" hidden="false" outlineLevel="0" max="8" min="8" style="1" width="10"/>
    <col collapsed="false" customWidth="true" hidden="false" outlineLevel="0" max="9" min="9" style="1" width="38"/>
  </cols>
  <sheetData>
    <row r="1" customFormat="false" ht="21" hidden="false" customHeight="true" outlineLevel="0" collapsed="false">
      <c r="A1" s="2" t="s">
        <v>262</v>
      </c>
    </row>
    <row r="2" customFormat="false" ht="15" hidden="false" customHeight="true" outlineLevel="0" collapsed="false">
      <c r="A2" s="22" t="s">
        <v>263</v>
      </c>
    </row>
    <row r="4" customFormat="false" ht="15" hidden="false" customHeight="true" outlineLevel="0" collapsed="false">
      <c r="A4" s="13" t="s">
        <v>264</v>
      </c>
      <c r="B4" s="13" t="s">
        <v>265</v>
      </c>
      <c r="C4" s="13" t="s">
        <v>266</v>
      </c>
      <c r="D4" s="13" t="s">
        <v>267</v>
      </c>
      <c r="E4" s="13" t="s">
        <v>268</v>
      </c>
      <c r="F4" s="13" t="s">
        <v>269</v>
      </c>
      <c r="G4" s="13" t="s">
        <v>270</v>
      </c>
      <c r="H4" s="13" t="s">
        <v>271</v>
      </c>
      <c r="I4" s="13" t="s">
        <v>272</v>
      </c>
    </row>
    <row r="5" customFormat="false" ht="29.25" hidden="false" customHeight="true" outlineLevel="0" collapsed="false">
      <c r="A5" s="24" t="s">
        <v>273</v>
      </c>
      <c r="B5" s="24" t="n">
        <v>2022</v>
      </c>
      <c r="C5" s="25" t="s">
        <v>54</v>
      </c>
      <c r="D5" s="10" t="s">
        <v>274</v>
      </c>
      <c r="E5" s="24" t="n">
        <v>25</v>
      </c>
      <c r="F5" s="24" t="n">
        <v>30</v>
      </c>
      <c r="G5" s="24" t="n">
        <f aca="false">F5-E5</f>
        <v>5</v>
      </c>
      <c r="H5" s="29" t="n">
        <f aca="false">IFERROR(G5/E5,0)</f>
        <v>0.2</v>
      </c>
      <c r="I5" s="10" t="s">
        <v>275</v>
      </c>
    </row>
    <row r="6" customFormat="false" ht="15" hidden="false" customHeight="true" outlineLevel="0" collapsed="false">
      <c r="A6" s="24" t="s">
        <v>273</v>
      </c>
      <c r="B6" s="24" t="n">
        <v>2022</v>
      </c>
      <c r="C6" s="25" t="s">
        <v>64</v>
      </c>
      <c r="D6" s="8" t="s">
        <v>276</v>
      </c>
      <c r="E6" s="24" t="n">
        <v>20</v>
      </c>
      <c r="F6" s="24" t="n">
        <v>21</v>
      </c>
      <c r="G6" s="24" t="n">
        <f aca="false">F6-E6</f>
        <v>1</v>
      </c>
      <c r="H6" s="29" t="n">
        <f aca="false">IFERROR(G6/E6,0)</f>
        <v>0.05</v>
      </c>
      <c r="I6" s="8"/>
    </row>
    <row r="7" customFormat="false" ht="29.25" hidden="false" customHeight="true" outlineLevel="0" collapsed="false">
      <c r="A7" s="24" t="s">
        <v>273</v>
      </c>
      <c r="B7" s="24" t="n">
        <v>2022</v>
      </c>
      <c r="C7" s="24" t="s">
        <v>79</v>
      </c>
      <c r="D7" s="10" t="s">
        <v>277</v>
      </c>
      <c r="E7" s="24" t="n">
        <v>30</v>
      </c>
      <c r="F7" s="24" t="n">
        <v>46</v>
      </c>
      <c r="G7" s="24" t="n">
        <f aca="false">F7-E7</f>
        <v>16</v>
      </c>
      <c r="H7" s="29" t="n">
        <f aca="false">IFERROR(G7/E7,0)</f>
        <v>0.533333333333333</v>
      </c>
      <c r="I7" s="10" t="s">
        <v>278</v>
      </c>
    </row>
    <row r="8" customFormat="false" ht="15" hidden="false" customHeight="true" outlineLevel="0" collapsed="false">
      <c r="A8" s="24" t="s">
        <v>279</v>
      </c>
      <c r="B8" s="24" t="n">
        <v>2023</v>
      </c>
      <c r="C8" s="25" t="s">
        <v>82</v>
      </c>
      <c r="D8" s="8" t="s">
        <v>280</v>
      </c>
      <c r="E8" s="24" t="n">
        <v>22</v>
      </c>
      <c r="F8" s="24" t="n">
        <v>24</v>
      </c>
      <c r="G8" s="24" t="n">
        <f aca="false">F8-E8</f>
        <v>2</v>
      </c>
      <c r="H8" s="29" t="n">
        <f aca="false">IFERROR(G8/E8,0)</f>
        <v>0.0909090909090909</v>
      </c>
      <c r="I8" s="8"/>
    </row>
    <row r="9" customFormat="false" ht="15" hidden="false" customHeight="true" outlineLevel="0" collapsed="false">
      <c r="A9" s="24" t="s">
        <v>279</v>
      </c>
      <c r="B9" s="24" t="n">
        <v>2023</v>
      </c>
      <c r="C9" s="25" t="s">
        <v>82</v>
      </c>
      <c r="D9" s="10" t="s">
        <v>281</v>
      </c>
      <c r="E9" s="24" t="n">
        <v>15</v>
      </c>
      <c r="F9" s="24" t="n">
        <v>22</v>
      </c>
      <c r="G9" s="24" t="n">
        <f aca="false">F9-E9</f>
        <v>7</v>
      </c>
      <c r="H9" s="29" t="n">
        <f aca="false">IFERROR(G9/E9,0)</f>
        <v>0.466666666666667</v>
      </c>
      <c r="I9" s="10" t="s">
        <v>282</v>
      </c>
    </row>
    <row r="10" customFormat="false" ht="29.25" hidden="false" customHeight="true" outlineLevel="0" collapsed="false">
      <c r="A10" s="24" t="s">
        <v>279</v>
      </c>
      <c r="B10" s="24" t="n">
        <v>2023</v>
      </c>
      <c r="C10" s="24" t="s">
        <v>79</v>
      </c>
      <c r="D10" s="10" t="s">
        <v>283</v>
      </c>
      <c r="E10" s="24" t="n">
        <v>18</v>
      </c>
      <c r="F10" s="24" t="n">
        <v>27</v>
      </c>
      <c r="G10" s="24" t="n">
        <f aca="false">F10-E10</f>
        <v>9</v>
      </c>
      <c r="H10" s="29" t="n">
        <f aca="false">IFERROR(G10/E10,0)</f>
        <v>0.5</v>
      </c>
      <c r="I10" s="10" t="s">
        <v>284</v>
      </c>
    </row>
    <row r="11" customFormat="false" ht="15" hidden="false" customHeight="true" outlineLevel="0" collapsed="false">
      <c r="A11" s="24" t="s">
        <v>279</v>
      </c>
      <c r="B11" s="24" t="n">
        <v>2023</v>
      </c>
      <c r="C11" s="25" t="s">
        <v>119</v>
      </c>
      <c r="D11" s="10" t="s">
        <v>285</v>
      </c>
      <c r="E11" s="24" t="n">
        <v>12</v>
      </c>
      <c r="F11" s="24" t="n">
        <v>13</v>
      </c>
      <c r="G11" s="24" t="n">
        <f aca="false">F11-E11</f>
        <v>1</v>
      </c>
      <c r="H11" s="29" t="n">
        <f aca="false">IFERROR(G11/E11,0)</f>
        <v>0.0833333333333333</v>
      </c>
      <c r="I11" s="8"/>
    </row>
    <row r="13" customFormat="false" ht="15" hidden="false" customHeight="true" outlineLevel="0" collapsed="false">
      <c r="C13" s="4" t="s">
        <v>286</v>
      </c>
      <c r="D13" s="28" t="n">
        <f aca="false">AVERAGE(H5:H11)</f>
        <v>0.274891774891775</v>
      </c>
    </row>
    <row r="14" customFormat="false" ht="32.25" hidden="false" customHeight="true" outlineLevel="0" collapsed="false">
      <c r="C14" s="4" t="s">
        <v>52</v>
      </c>
      <c r="D14" s="30" t="s">
        <v>287</v>
      </c>
      <c r="E14" s="30"/>
      <c r="F14" s="30"/>
      <c r="G14" s="30"/>
      <c r="H14" s="30"/>
      <c r="I14" s="30"/>
    </row>
  </sheetData>
  <mergeCells count="1">
    <mergeCell ref="D14:I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16"/>
    <col collapsed="false" customWidth="true" hidden="false" outlineLevel="0" max="4" min="4" style="1" width="20"/>
    <col collapsed="false" customWidth="true" hidden="false" outlineLevel="0" max="5" min="5" style="1" width="22"/>
    <col collapsed="false" customWidth="true" hidden="false" outlineLevel="0" max="6" min="6" style="1" width="20"/>
  </cols>
  <sheetData>
    <row r="1" customFormat="false" ht="21" hidden="false" customHeight="true" outlineLevel="0" collapsed="false">
      <c r="A1" s="2" t="s">
        <v>288</v>
      </c>
    </row>
    <row r="2" customFormat="false" ht="15" hidden="false" customHeight="true" outlineLevel="0" collapsed="false">
      <c r="A2" s="22" t="s">
        <v>289</v>
      </c>
    </row>
    <row r="4" customFormat="false" ht="29.25" hidden="false" customHeight="true" outlineLevel="0" collapsed="false">
      <c r="A4" s="13" t="s">
        <v>266</v>
      </c>
      <c r="B4" s="13" t="s">
        <v>267</v>
      </c>
      <c r="C4" s="13" t="s">
        <v>290</v>
      </c>
      <c r="D4" s="13" t="s">
        <v>291</v>
      </c>
      <c r="E4" s="13" t="s">
        <v>292</v>
      </c>
      <c r="F4" s="13" t="s">
        <v>293</v>
      </c>
    </row>
    <row r="5" customFormat="false" ht="29.25" hidden="false" customHeight="true" outlineLevel="0" collapsed="false">
      <c r="A5" s="24" t="s">
        <v>79</v>
      </c>
      <c r="B5" s="10" t="s">
        <v>294</v>
      </c>
      <c r="C5" s="24" t="n">
        <v>45</v>
      </c>
      <c r="D5" s="29" t="n">
        <f aca="false">AVERAGE(04_見積実績_過去機種!H6,04_見積実績_過去機種!H9)</f>
        <v>0.258333333333333</v>
      </c>
      <c r="E5" s="31" t="n">
        <f aca="false">C5*(1+D5)</f>
        <v>56.625</v>
      </c>
      <c r="F5" s="24" t="str">
        <f aca="false">IF(C5&gt;=E5,"妥当","過小見積りの疑いあり")</f>
        <v>過小見積りの疑いあり</v>
      </c>
    </row>
    <row r="6" customFormat="false" ht="15" hidden="false" customHeight="true" outlineLevel="0" collapsed="false">
      <c r="A6" s="25" t="s">
        <v>54</v>
      </c>
      <c r="B6" s="10" t="s">
        <v>295</v>
      </c>
      <c r="C6" s="24" t="n">
        <v>32</v>
      </c>
      <c r="D6" s="29" t="n">
        <f aca="false">04_見積実績_過去機種!H5</f>
        <v>0.2</v>
      </c>
      <c r="E6" s="31" t="n">
        <f aca="false">C6*(1+D6)</f>
        <v>38.4</v>
      </c>
      <c r="F6" s="24" t="str">
        <f aca="false">IF(C6&gt;=E6,"妥当","過小見積りの疑いあり")</f>
        <v>過小見積りの疑いあり</v>
      </c>
    </row>
    <row r="7" customFormat="false" ht="15" hidden="false" customHeight="true" outlineLevel="0" collapsed="false">
      <c r="A7" s="25" t="s">
        <v>82</v>
      </c>
      <c r="B7" s="8" t="s">
        <v>296</v>
      </c>
      <c r="C7" s="24" t="n">
        <v>30</v>
      </c>
      <c r="D7" s="29" t="n">
        <f aca="false">AVERAGE(04_見積実績_過去機種!H7,04_見積実績_過去機種!H8)</f>
        <v>0.312121212121212</v>
      </c>
      <c r="E7" s="31" t="n">
        <f aca="false">C7*(1+D7)</f>
        <v>39.3636363636364</v>
      </c>
      <c r="F7" s="24" t="str">
        <f aca="false">IF(C7&gt;=E7,"妥当","過小見積りの疑いあり")</f>
        <v>過小見積りの疑いあり</v>
      </c>
    </row>
    <row r="8" customFormat="false" ht="15" hidden="false" customHeight="true" outlineLevel="0" collapsed="false">
      <c r="A8" s="25" t="s">
        <v>64</v>
      </c>
      <c r="B8" s="8" t="s">
        <v>276</v>
      </c>
      <c r="C8" s="24" t="n">
        <v>22</v>
      </c>
      <c r="D8" s="29" t="n">
        <f aca="false">04_見積実績_過去機種!H6</f>
        <v>0.05</v>
      </c>
      <c r="E8" s="31" t="n">
        <f aca="false">C8*(1+D8)</f>
        <v>23.1</v>
      </c>
      <c r="F8" s="24" t="str">
        <f aca="false">IF(C8&gt;=E8,"妥当","過小見積りの疑いあり")</f>
        <v>過小見積りの疑いあり</v>
      </c>
    </row>
    <row r="10" customFormat="false" ht="30" hidden="false" customHeight="true" outlineLevel="0" collapsed="false">
      <c r="A10" s="5" t="s">
        <v>297</v>
      </c>
      <c r="B10" s="5"/>
      <c r="C10" s="5"/>
      <c r="D10" s="5"/>
      <c r="E10" s="5"/>
      <c r="F10" s="5"/>
    </row>
  </sheetData>
  <mergeCells count="1">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12"/>
    <col collapsed="false" customWidth="true" hidden="false" outlineLevel="0" max="4" min="4" style="1" width="14"/>
    <col collapsed="false" customWidth="true" hidden="false" outlineLevel="0" max="5" min="5" style="1" width="52"/>
    <col collapsed="false" customWidth="true" hidden="false" outlineLevel="0" max="6" min="6" style="1" width="16"/>
    <col collapsed="false" customWidth="true" hidden="false" outlineLevel="0" max="7" min="7" style="1" width="8"/>
    <col collapsed="false" customWidth="true" hidden="false" outlineLevel="0" max="8" min="8" style="1" width="42"/>
  </cols>
  <sheetData>
    <row r="1" customFormat="false" ht="21" hidden="false" customHeight="true" outlineLevel="0" collapsed="false">
      <c r="A1" s="2" t="s">
        <v>298</v>
      </c>
    </row>
    <row r="2" customFormat="false" ht="15" hidden="false" customHeight="true" outlineLevel="0" collapsed="false">
      <c r="A2" s="22" t="s">
        <v>299</v>
      </c>
    </row>
    <row r="4" customFormat="false" ht="15" hidden="false" customHeight="true" outlineLevel="0" collapsed="false">
      <c r="A4" s="13" t="s">
        <v>300</v>
      </c>
      <c r="B4" s="13" t="s">
        <v>264</v>
      </c>
      <c r="C4" s="13" t="s">
        <v>301</v>
      </c>
      <c r="D4" s="13" t="s">
        <v>266</v>
      </c>
      <c r="E4" s="13" t="s">
        <v>302</v>
      </c>
      <c r="F4" s="13" t="s">
        <v>303</v>
      </c>
      <c r="G4" s="13" t="s">
        <v>304</v>
      </c>
      <c r="H4" s="13" t="s">
        <v>305</v>
      </c>
    </row>
    <row r="5" customFormat="false" ht="43.5" hidden="false" customHeight="true" outlineLevel="0" collapsed="false">
      <c r="A5" s="14" t="s">
        <v>306</v>
      </c>
      <c r="B5" s="14" t="s">
        <v>273</v>
      </c>
      <c r="C5" s="15" t="s">
        <v>244</v>
      </c>
      <c r="D5" s="14" t="s">
        <v>79</v>
      </c>
      <c r="E5" s="16" t="s">
        <v>307</v>
      </c>
      <c r="F5" s="15" t="s">
        <v>308</v>
      </c>
      <c r="G5" s="32" t="s">
        <v>309</v>
      </c>
      <c r="H5" s="16" t="s">
        <v>310</v>
      </c>
    </row>
    <row r="6" customFormat="false" ht="43.5" hidden="false" customHeight="true" outlineLevel="0" collapsed="false">
      <c r="A6" s="14" t="s">
        <v>311</v>
      </c>
      <c r="B6" s="14" t="s">
        <v>273</v>
      </c>
      <c r="C6" s="15" t="s">
        <v>248</v>
      </c>
      <c r="D6" s="15" t="s">
        <v>64</v>
      </c>
      <c r="E6" s="16" t="s">
        <v>312</v>
      </c>
      <c r="F6" s="15" t="s">
        <v>313</v>
      </c>
      <c r="G6" s="33" t="s">
        <v>314</v>
      </c>
      <c r="H6" s="16" t="s">
        <v>315</v>
      </c>
    </row>
    <row r="7" customFormat="false" ht="43.5" hidden="false" customHeight="true" outlineLevel="0" collapsed="false">
      <c r="A7" s="14" t="s">
        <v>316</v>
      </c>
      <c r="B7" s="14" t="s">
        <v>279</v>
      </c>
      <c r="C7" s="15" t="s">
        <v>244</v>
      </c>
      <c r="D7" s="15" t="s">
        <v>82</v>
      </c>
      <c r="E7" s="16" t="s">
        <v>317</v>
      </c>
      <c r="F7" s="15" t="s">
        <v>308</v>
      </c>
      <c r="G7" s="34" t="s">
        <v>318</v>
      </c>
      <c r="H7" s="16" t="s">
        <v>319</v>
      </c>
    </row>
    <row r="8" customFormat="false" ht="43.5" hidden="false" customHeight="true" outlineLevel="0" collapsed="false">
      <c r="A8" s="14" t="s">
        <v>320</v>
      </c>
      <c r="B8" s="14" t="s">
        <v>279</v>
      </c>
      <c r="C8" s="15" t="s">
        <v>321</v>
      </c>
      <c r="D8" s="15" t="s">
        <v>82</v>
      </c>
      <c r="E8" s="16" t="s">
        <v>322</v>
      </c>
      <c r="F8" s="15" t="s">
        <v>308</v>
      </c>
      <c r="G8" s="34" t="s">
        <v>318</v>
      </c>
      <c r="H8" s="16" t="s">
        <v>323</v>
      </c>
    </row>
    <row r="9" customFormat="false" ht="29.25" hidden="false" customHeight="true" outlineLevel="0" collapsed="false">
      <c r="A9" s="14" t="s">
        <v>324</v>
      </c>
      <c r="B9" s="14" t="s">
        <v>279</v>
      </c>
      <c r="C9" s="15" t="s">
        <v>248</v>
      </c>
      <c r="D9" s="15" t="s">
        <v>119</v>
      </c>
      <c r="E9" s="16" t="s">
        <v>325</v>
      </c>
      <c r="F9" s="15" t="s">
        <v>313</v>
      </c>
      <c r="G9" s="32" t="s">
        <v>309</v>
      </c>
      <c r="H9" s="16" t="s">
        <v>326</v>
      </c>
    </row>
    <row r="10" customFormat="false" ht="29.25" hidden="false" customHeight="true" outlineLevel="0" collapsed="false">
      <c r="A10" s="14" t="s">
        <v>327</v>
      </c>
      <c r="B10" s="14" t="s">
        <v>273</v>
      </c>
      <c r="C10" s="15" t="s">
        <v>321</v>
      </c>
      <c r="D10" s="15" t="s">
        <v>54</v>
      </c>
      <c r="E10" s="16" t="s">
        <v>328</v>
      </c>
      <c r="F10" s="15" t="s">
        <v>329</v>
      </c>
      <c r="G10" s="32" t="s">
        <v>309</v>
      </c>
      <c r="H10" s="16" t="s">
        <v>330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9"/>
    <col collapsed="false" customWidth="true" hidden="false" outlineLevel="0" max="2" min="2" style="1" width="14"/>
    <col collapsed="false" customWidth="true" hidden="false" outlineLevel="0" max="3" min="3" style="1" width="30"/>
    <col collapsed="false" customWidth="true" hidden="false" outlineLevel="0" max="4" min="4" style="1" width="24"/>
    <col collapsed="false" customWidth="true" hidden="false" outlineLevel="0" max="5" min="5" style="1" width="46"/>
    <col collapsed="false" customWidth="true" hidden="false" outlineLevel="0" max="6" min="6" style="1" width="12"/>
    <col collapsed="false" customWidth="true" hidden="false" outlineLevel="0" max="7" min="7" style="1" width="9"/>
  </cols>
  <sheetData>
    <row r="1" customFormat="false" ht="17.25" hidden="false" customHeight="true" outlineLevel="0" collapsed="false">
      <c r="A1" s="2" t="s">
        <v>331</v>
      </c>
    </row>
    <row r="2" customFormat="false" ht="15" hidden="false" customHeight="true" outlineLevel="0" collapsed="false">
      <c r="A2" s="3" t="s">
        <v>332</v>
      </c>
    </row>
    <row r="4" customFormat="false" ht="15" hidden="false" customHeight="true" outlineLevel="0" collapsed="false">
      <c r="A4" s="23" t="s">
        <v>333</v>
      </c>
      <c r="B4" s="13" t="s">
        <v>138</v>
      </c>
      <c r="C4" s="13" t="s">
        <v>334</v>
      </c>
      <c r="D4" s="13" t="s">
        <v>335</v>
      </c>
      <c r="E4" s="13" t="s">
        <v>336</v>
      </c>
      <c r="F4" s="13" t="s">
        <v>337</v>
      </c>
      <c r="G4" s="13" t="s">
        <v>338</v>
      </c>
    </row>
    <row r="5" customFormat="false" ht="15" hidden="false" customHeight="true" outlineLevel="0" collapsed="false">
      <c r="A5" s="14" t="s">
        <v>339</v>
      </c>
      <c r="B5" s="14" t="s">
        <v>53</v>
      </c>
      <c r="C5" s="16" t="s">
        <v>340</v>
      </c>
      <c r="D5" s="16" t="s">
        <v>341</v>
      </c>
      <c r="E5" s="16" t="s">
        <v>342</v>
      </c>
      <c r="F5" s="15" t="s">
        <v>248</v>
      </c>
      <c r="G5" s="15" t="s">
        <v>343</v>
      </c>
    </row>
    <row r="6" customFormat="false" ht="29.25" hidden="false" customHeight="true" outlineLevel="0" collapsed="false">
      <c r="A6" s="14" t="s">
        <v>344</v>
      </c>
      <c r="B6" s="14" t="s">
        <v>63</v>
      </c>
      <c r="C6" s="16" t="s">
        <v>345</v>
      </c>
      <c r="D6" s="16" t="s">
        <v>346</v>
      </c>
      <c r="E6" s="16" t="s">
        <v>347</v>
      </c>
      <c r="F6" s="15" t="s">
        <v>248</v>
      </c>
      <c r="G6" s="15" t="s">
        <v>343</v>
      </c>
    </row>
    <row r="7" customFormat="false" ht="29.25" hidden="false" customHeight="true" outlineLevel="0" collapsed="false">
      <c r="A7" s="14" t="s">
        <v>348</v>
      </c>
      <c r="B7" s="14" t="s">
        <v>349</v>
      </c>
      <c r="C7" s="16" t="s">
        <v>350</v>
      </c>
      <c r="D7" s="16" t="s">
        <v>351</v>
      </c>
      <c r="E7" s="16" t="s">
        <v>352</v>
      </c>
      <c r="F7" s="15" t="s">
        <v>244</v>
      </c>
      <c r="G7" s="15" t="s">
        <v>343</v>
      </c>
    </row>
    <row r="8" customFormat="false" ht="29.25" hidden="false" customHeight="true" outlineLevel="0" collapsed="false">
      <c r="A8" s="14" t="s">
        <v>353</v>
      </c>
      <c r="B8" s="14" t="s">
        <v>354</v>
      </c>
      <c r="C8" s="16" t="s">
        <v>355</v>
      </c>
      <c r="D8" s="16" t="s">
        <v>356</v>
      </c>
      <c r="E8" s="17" t="s">
        <v>357</v>
      </c>
      <c r="F8" s="15" t="s">
        <v>244</v>
      </c>
      <c r="G8" s="15" t="s">
        <v>343</v>
      </c>
    </row>
    <row r="9" customFormat="false" ht="29.25" hidden="false" customHeight="true" outlineLevel="0" collapsed="false">
      <c r="A9" s="14" t="s">
        <v>358</v>
      </c>
      <c r="B9" s="14" t="s">
        <v>359</v>
      </c>
      <c r="C9" s="16" t="s">
        <v>360</v>
      </c>
      <c r="D9" s="16" t="s">
        <v>361</v>
      </c>
      <c r="E9" s="16" t="s">
        <v>362</v>
      </c>
      <c r="F9" s="15" t="s">
        <v>248</v>
      </c>
      <c r="G9" s="15" t="s">
        <v>343</v>
      </c>
    </row>
    <row r="10" customFormat="false" ht="29.25" hidden="false" customHeight="true" outlineLevel="0" collapsed="false">
      <c r="A10" s="14" t="s">
        <v>363</v>
      </c>
      <c r="B10" s="14" t="s">
        <v>69</v>
      </c>
      <c r="C10" s="16" t="s">
        <v>364</v>
      </c>
      <c r="D10" s="16" t="s">
        <v>365</v>
      </c>
      <c r="E10" s="16" t="s">
        <v>366</v>
      </c>
      <c r="F10" s="15" t="s">
        <v>244</v>
      </c>
      <c r="G10" s="15" t="s">
        <v>343</v>
      </c>
    </row>
    <row r="11" customFormat="false" ht="15" hidden="false" customHeight="true" outlineLevel="0" collapsed="false">
      <c r="A11" s="14" t="s">
        <v>367</v>
      </c>
      <c r="B11" s="14" t="s">
        <v>94</v>
      </c>
      <c r="C11" s="16" t="s">
        <v>368</v>
      </c>
      <c r="D11" s="16" t="s">
        <v>369</v>
      </c>
      <c r="E11" s="16" t="s">
        <v>370</v>
      </c>
      <c r="F11" s="15" t="s">
        <v>244</v>
      </c>
      <c r="G11" s="15" t="s">
        <v>343</v>
      </c>
    </row>
    <row r="12" customFormat="false" ht="29.25" hidden="false" customHeight="true" outlineLevel="0" collapsed="false">
      <c r="A12" s="14" t="s">
        <v>371</v>
      </c>
      <c r="B12" s="14" t="s">
        <v>99</v>
      </c>
      <c r="C12" s="16" t="s">
        <v>372</v>
      </c>
      <c r="D12" s="16" t="s">
        <v>369</v>
      </c>
      <c r="E12" s="16" t="s">
        <v>373</v>
      </c>
      <c r="F12" s="15" t="s">
        <v>244</v>
      </c>
      <c r="G12" s="15" t="s">
        <v>343</v>
      </c>
    </row>
    <row r="13" customFormat="false" ht="29.25" hidden="false" customHeight="true" outlineLevel="0" collapsed="false">
      <c r="A13" s="14" t="s">
        <v>374</v>
      </c>
      <c r="B13" s="14" t="s">
        <v>375</v>
      </c>
      <c r="C13" s="16" t="s">
        <v>376</v>
      </c>
      <c r="D13" s="16" t="s">
        <v>369</v>
      </c>
      <c r="E13" s="16" t="s">
        <v>377</v>
      </c>
      <c r="F13" s="15" t="s">
        <v>248</v>
      </c>
      <c r="G13" s="15" t="s">
        <v>378</v>
      </c>
    </row>
    <row r="14" customFormat="false" ht="29.25" hidden="false" customHeight="true" outlineLevel="0" collapsed="false">
      <c r="A14" s="14" t="s">
        <v>379</v>
      </c>
      <c r="B14" s="14" t="s">
        <v>110</v>
      </c>
      <c r="C14" s="17" t="s">
        <v>380</v>
      </c>
      <c r="D14" s="17" t="s">
        <v>381</v>
      </c>
      <c r="E14" s="16" t="s">
        <v>382</v>
      </c>
      <c r="F14" s="15" t="s">
        <v>248</v>
      </c>
      <c r="G14" s="15" t="s">
        <v>343</v>
      </c>
    </row>
    <row r="15" customFormat="false" ht="15" hidden="false" customHeight="true" outlineLevel="0" collapsed="false">
      <c r="A15" s="14" t="s">
        <v>383</v>
      </c>
      <c r="B15" s="14" t="s">
        <v>114</v>
      </c>
      <c r="C15" s="16" t="s">
        <v>384</v>
      </c>
      <c r="D15" s="17" t="s">
        <v>385</v>
      </c>
      <c r="E15" s="16" t="s">
        <v>386</v>
      </c>
      <c r="F15" s="15" t="s">
        <v>244</v>
      </c>
      <c r="G15" s="15" t="s">
        <v>343</v>
      </c>
    </row>
    <row r="16" customFormat="false" ht="15" hidden="false" customHeight="true" outlineLevel="0" collapsed="false">
      <c r="A16" s="14" t="s">
        <v>387</v>
      </c>
      <c r="B16" s="14" t="s">
        <v>118</v>
      </c>
      <c r="C16" s="16" t="s">
        <v>388</v>
      </c>
      <c r="D16" s="16" t="s">
        <v>389</v>
      </c>
      <c r="E16" s="16" t="s">
        <v>390</v>
      </c>
      <c r="F16" s="15" t="s">
        <v>244</v>
      </c>
      <c r="G16" s="15" t="s">
        <v>343</v>
      </c>
    </row>
    <row r="17" customFormat="false" ht="29.25" hidden="false" customHeight="true" outlineLevel="0" collapsed="false">
      <c r="A17" s="14" t="s">
        <v>391</v>
      </c>
      <c r="B17" s="14" t="s">
        <v>125</v>
      </c>
      <c r="C17" s="16" t="s">
        <v>126</v>
      </c>
      <c r="D17" s="17" t="s">
        <v>392</v>
      </c>
      <c r="E17" s="16" t="s">
        <v>393</v>
      </c>
      <c r="F17" s="15" t="s">
        <v>244</v>
      </c>
      <c r="G17" s="15" t="s">
        <v>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16"/>
    <col collapsed="false" customWidth="true" hidden="false" outlineLevel="0" max="4" min="4" style="1" width="14"/>
    <col collapsed="false" customWidth="true" hidden="false" outlineLevel="0" max="5" min="5" style="1" width="16"/>
    <col collapsed="false" customWidth="true" hidden="false" outlineLevel="0" max="6" min="6" style="1" width="46"/>
  </cols>
  <sheetData>
    <row r="1" customFormat="false" ht="17.25" hidden="false" customHeight="true" outlineLevel="0" collapsed="false">
      <c r="A1" s="2" t="s">
        <v>394</v>
      </c>
    </row>
    <row r="2" customFormat="false" ht="15" hidden="false" customHeight="true" outlineLevel="0" collapsed="false">
      <c r="A2" s="22" t="s">
        <v>395</v>
      </c>
    </row>
    <row r="4" customFormat="false" ht="26.25" hidden="false" customHeight="true" outlineLevel="0" collapsed="false">
      <c r="A4" s="13" t="s">
        <v>45</v>
      </c>
      <c r="B4" s="13" t="s">
        <v>396</v>
      </c>
      <c r="C4" s="13" t="s">
        <v>397</v>
      </c>
      <c r="D4" s="23" t="s">
        <v>398</v>
      </c>
      <c r="E4" s="13" t="s">
        <v>399</v>
      </c>
      <c r="F4" s="13" t="s">
        <v>400</v>
      </c>
    </row>
    <row r="5" customFormat="false" ht="15" hidden="false" customHeight="true" outlineLevel="0" collapsed="false">
      <c r="A5" s="14" t="s">
        <v>53</v>
      </c>
      <c r="B5" s="16" t="s">
        <v>401</v>
      </c>
      <c r="C5" s="14" t="s">
        <v>59</v>
      </c>
      <c r="D5" s="14" t="s">
        <v>402</v>
      </c>
      <c r="E5" s="14" t="s">
        <v>339</v>
      </c>
      <c r="F5" s="35" t="s">
        <v>403</v>
      </c>
    </row>
    <row r="6" customFormat="false" ht="15" hidden="false" customHeight="true" outlineLevel="0" collapsed="false">
      <c r="A6" s="14" t="s">
        <v>63</v>
      </c>
      <c r="B6" s="16" t="s">
        <v>345</v>
      </c>
      <c r="C6" s="14" t="s">
        <v>68</v>
      </c>
      <c r="D6" s="14" t="s">
        <v>402</v>
      </c>
      <c r="E6" s="14" t="s">
        <v>344</v>
      </c>
      <c r="F6" s="35" t="s">
        <v>403</v>
      </c>
    </row>
    <row r="7" customFormat="false" ht="15" hidden="false" customHeight="true" outlineLevel="0" collapsed="false">
      <c r="A7" s="14" t="s">
        <v>69</v>
      </c>
      <c r="B7" s="16" t="s">
        <v>404</v>
      </c>
      <c r="C7" s="14" t="s">
        <v>68</v>
      </c>
      <c r="D7" s="14" t="s">
        <v>71</v>
      </c>
      <c r="E7" s="14" t="s">
        <v>363</v>
      </c>
      <c r="F7" s="35" t="s">
        <v>403</v>
      </c>
    </row>
    <row r="8" customFormat="false" ht="29.25" hidden="false" customHeight="true" outlineLevel="0" collapsed="false">
      <c r="A8" s="14" t="s">
        <v>72</v>
      </c>
      <c r="B8" s="16" t="s">
        <v>405</v>
      </c>
      <c r="C8" s="14" t="s">
        <v>76</v>
      </c>
      <c r="D8" s="14" t="s">
        <v>80</v>
      </c>
      <c r="E8" s="14" t="s">
        <v>348</v>
      </c>
      <c r="F8" s="36" t="s">
        <v>406</v>
      </c>
    </row>
    <row r="9" customFormat="false" ht="15" hidden="false" customHeight="true" outlineLevel="0" collapsed="false">
      <c r="A9" s="14" t="s">
        <v>77</v>
      </c>
      <c r="B9" s="16" t="s">
        <v>407</v>
      </c>
      <c r="C9" s="14" t="s">
        <v>76</v>
      </c>
      <c r="D9" s="14" t="s">
        <v>80</v>
      </c>
      <c r="E9" s="14" t="s">
        <v>348</v>
      </c>
      <c r="F9" s="36" t="s">
        <v>408</v>
      </c>
    </row>
    <row r="10" customFormat="false" ht="29.25" hidden="false" customHeight="true" outlineLevel="0" collapsed="false">
      <c r="A10" s="14" t="s">
        <v>81</v>
      </c>
      <c r="B10" s="16" t="s">
        <v>409</v>
      </c>
      <c r="C10" s="14" t="s">
        <v>85</v>
      </c>
      <c r="D10" s="14" t="s">
        <v>88</v>
      </c>
      <c r="E10" s="14" t="s">
        <v>353</v>
      </c>
      <c r="F10" s="37" t="s">
        <v>410</v>
      </c>
    </row>
    <row r="11" customFormat="false" ht="15" hidden="false" customHeight="true" outlineLevel="0" collapsed="false">
      <c r="A11" s="14" t="s">
        <v>86</v>
      </c>
      <c r="B11" s="16" t="s">
        <v>411</v>
      </c>
      <c r="C11" s="14" t="s">
        <v>85</v>
      </c>
      <c r="D11" s="14" t="s">
        <v>88</v>
      </c>
      <c r="E11" s="14" t="s">
        <v>353</v>
      </c>
      <c r="F11" s="37" t="s">
        <v>412</v>
      </c>
    </row>
    <row r="12" customFormat="false" ht="15" hidden="false" customHeight="true" outlineLevel="0" collapsed="false">
      <c r="A12" s="14" t="s">
        <v>89</v>
      </c>
      <c r="B12" s="16" t="s">
        <v>360</v>
      </c>
      <c r="C12" s="14" t="s">
        <v>85</v>
      </c>
      <c r="D12" s="14" t="s">
        <v>88</v>
      </c>
      <c r="E12" s="14" t="s">
        <v>358</v>
      </c>
      <c r="F12" s="35" t="s">
        <v>413</v>
      </c>
    </row>
    <row r="13" customFormat="false" ht="15" hidden="false" customHeight="true" outlineLevel="0" collapsed="false">
      <c r="A13" s="14" t="s">
        <v>94</v>
      </c>
      <c r="B13" s="16" t="s">
        <v>414</v>
      </c>
      <c r="C13" s="14" t="s">
        <v>98</v>
      </c>
      <c r="D13" s="14" t="s">
        <v>402</v>
      </c>
      <c r="E13" s="14" t="s">
        <v>367</v>
      </c>
      <c r="F13" s="35" t="s">
        <v>403</v>
      </c>
    </row>
    <row r="14" customFormat="false" ht="15" hidden="false" customHeight="true" outlineLevel="0" collapsed="false">
      <c r="A14" s="14" t="s">
        <v>99</v>
      </c>
      <c r="B14" s="16" t="s">
        <v>100</v>
      </c>
      <c r="C14" s="14" t="s">
        <v>103</v>
      </c>
      <c r="D14" s="14" t="s">
        <v>402</v>
      </c>
      <c r="E14" s="14" t="s">
        <v>371</v>
      </c>
      <c r="F14" s="35" t="s">
        <v>403</v>
      </c>
    </row>
    <row r="15" customFormat="false" ht="15" hidden="false" customHeight="true" outlineLevel="0" collapsed="false">
      <c r="A15" s="14" t="s">
        <v>104</v>
      </c>
      <c r="B15" s="16" t="s">
        <v>415</v>
      </c>
      <c r="C15" s="14" t="s">
        <v>76</v>
      </c>
      <c r="D15" s="14" t="s">
        <v>402</v>
      </c>
      <c r="E15" s="15" t="s">
        <v>416</v>
      </c>
      <c r="F15" s="38" t="s">
        <v>417</v>
      </c>
    </row>
    <row r="16" customFormat="false" ht="15" hidden="false" customHeight="true" outlineLevel="0" collapsed="false">
      <c r="A16" s="14" t="s">
        <v>110</v>
      </c>
      <c r="B16" s="17" t="s">
        <v>418</v>
      </c>
      <c r="C16" s="14" t="s">
        <v>402</v>
      </c>
      <c r="D16" s="14" t="s">
        <v>71</v>
      </c>
      <c r="E16" s="14" t="s">
        <v>379</v>
      </c>
      <c r="F16" s="35" t="s">
        <v>403</v>
      </c>
    </row>
    <row r="17" customFormat="false" ht="15" hidden="false" customHeight="true" outlineLevel="0" collapsed="false">
      <c r="A17" s="14" t="s">
        <v>114</v>
      </c>
      <c r="B17" s="16" t="s">
        <v>419</v>
      </c>
      <c r="C17" s="14" t="s">
        <v>402</v>
      </c>
      <c r="D17" s="14" t="s">
        <v>117</v>
      </c>
      <c r="E17" s="14" t="s">
        <v>383</v>
      </c>
      <c r="F17" s="35" t="s">
        <v>403</v>
      </c>
    </row>
    <row r="18" customFormat="false" ht="15" hidden="false" customHeight="true" outlineLevel="0" collapsed="false">
      <c r="A18" s="14" t="s">
        <v>118</v>
      </c>
      <c r="B18" s="16" t="s">
        <v>420</v>
      </c>
      <c r="C18" s="14" t="s">
        <v>122</v>
      </c>
      <c r="D18" s="14" t="s">
        <v>402</v>
      </c>
      <c r="E18" s="14" t="s">
        <v>387</v>
      </c>
      <c r="F18" s="35" t="s">
        <v>403</v>
      </c>
    </row>
    <row r="19" customFormat="false" ht="29.25" hidden="false" customHeight="true" outlineLevel="0" collapsed="false">
      <c r="A19" s="14" t="s">
        <v>123</v>
      </c>
      <c r="B19" s="16" t="s">
        <v>421</v>
      </c>
      <c r="C19" s="14" t="s">
        <v>85</v>
      </c>
      <c r="D19" s="14" t="s">
        <v>88</v>
      </c>
      <c r="E19" s="15" t="s">
        <v>422</v>
      </c>
      <c r="F19" s="36" t="s">
        <v>423</v>
      </c>
    </row>
    <row r="20" customFormat="false" ht="15" hidden="false" customHeight="true" outlineLevel="0" collapsed="false">
      <c r="A20" s="14" t="s">
        <v>125</v>
      </c>
      <c r="B20" s="16" t="s">
        <v>126</v>
      </c>
      <c r="C20" s="14" t="s">
        <v>402</v>
      </c>
      <c r="D20" s="14" t="s">
        <v>129</v>
      </c>
      <c r="E20" s="14" t="s">
        <v>391</v>
      </c>
      <c r="F20" s="35" t="s">
        <v>403</v>
      </c>
    </row>
    <row r="22" customFormat="false" ht="26.25" hidden="false" customHeight="true" outlineLevel="0" collapsed="false">
      <c r="A22" s="5" t="s">
        <v>424</v>
      </c>
      <c r="B22" s="5"/>
      <c r="C22" s="5"/>
      <c r="D22" s="5"/>
      <c r="E22" s="5"/>
      <c r="F22" s="5"/>
    </row>
  </sheetData>
  <mergeCells count="1">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2026-08-14T05:43:19Z</dcterms:created>
  <dc:creator>openpyxl</dc:creator>
  <dc:description/>
  <dc:language>en-US</dc:language>
  <cp:lastModifiedBy>太郎 吉田</cp:lastModifiedBy>
  <dcterms:modified xsi:type="dcterms:W3CDTF">2026-08-15T06:11:36Z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
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work\Blanding\3.仮想プロジェクト\0.Input\"/>
    </mc:Choice>
  </mc:AlternateContent>
  <xr:revisionPtr revIDLastSave="0" documentId="13_ncr:1_{499F391D-80C2-4225-A92F-12F2498F5125}" xr6:coauthVersionLast="47" xr6:coauthVersionMax="47" xr10:uidLastSave="{00000000-0000-0000-0000-000000000000}"/>
  <bookViews>
    <workbookView xWindow="-110" yWindow="-110" windowWidth="19420" windowHeight="11500" tabRatio="664" activeTab="2" xr2:uid="{00000000-000D-0000-FFFF-FFFF00000000}"/>
  </bookViews>
  <sheets>
    <sheet name="00_プロジェクト概要" sheetId="1" r:id="rId1"/>
    <sheet name="01_要求一覧" sheetId="2" r:id="rId2"/>
    <sheet name="02_仕様書索引" sheetId="3" r:id="rId3"/>
    <sheet name="03_WBSスケジュール" sheetId="4" r:id="rId4"/>
    <sheet name="04_見積実績_過去機種" sheetId="5" r:id="rId5"/>
    <sheet name="05_見積_新規案件" sheetId="6" r:id="rId6"/>
    <sheet name="06_不具合票_過去機種" sheetId="7" r:id="rId7"/>
    <sheet name="07_テストケース一覧" sheetId="8" r:id="rId8"/>
    <sheet name="08_トレーサビリティ"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1" i="5" l="1"/>
  <c r="G11" i="5"/>
  <c r="H10" i="5"/>
  <c r="G10" i="5"/>
  <c r="H9" i="5"/>
  <c r="G9" i="5"/>
  <c r="H8" i="5"/>
  <c r="G8" i="5"/>
  <c r="H7" i="5"/>
  <c r="D7" i="6" s="1"/>
  <c r="E7" i="6" s="1"/>
  <c r="F7" i="6" s="1"/>
  <c r="G7" i="5"/>
  <c r="H6" i="5"/>
  <c r="D8" i="6" s="1"/>
  <c r="E8" i="6" s="1"/>
  <c r="F8" i="6" s="1"/>
  <c r="G6" i="5"/>
  <c r="H5" i="5"/>
  <c r="D6" i="6" s="1"/>
  <c r="E6" i="6" s="1"/>
  <c r="F6" i="6" s="1"/>
  <c r="G5" i="5"/>
  <c r="C24" i="4"/>
  <c r="G22" i="4"/>
  <c r="G21" i="4"/>
  <c r="G20" i="4"/>
  <c r="G19" i="4"/>
  <c r="G18" i="4"/>
  <c r="G17" i="4"/>
  <c r="G16" i="4"/>
  <c r="G15" i="4"/>
  <c r="G14" i="4"/>
  <c r="G13" i="4"/>
  <c r="G12" i="4"/>
  <c r="G11" i="4"/>
  <c r="G10" i="4"/>
  <c r="G9" i="4"/>
  <c r="G8" i="4"/>
  <c r="G7" i="4"/>
  <c r="G6" i="4"/>
  <c r="G5" i="4"/>
  <c r="D13" i="5" l="1"/>
  <c r="D5" i="6"/>
  <c r="E5" i="6" s="1"/>
  <c r="F5" i="6" s="1"/>
</calcChain>
</file>

<file path=xl/sharedStrings.xml><?xml version="1.0" encoding="utf-8"?>
<sst xmlns="http://schemas.openxmlformats.org/spreadsheetml/2006/main" count="715" uniqueCount="429">
  <si>
    <t>仮想プロジェクトデータセット</t>
  </si>
  <si>
    <r>
      <rPr>
        <i/>
        <sz val="9"/>
        <color rgb="FF6B7280"/>
        <rFont val="Arial"/>
        <family val="2"/>
      </rPr>
      <t>Ambient Experience Controller(AEC)</t>
    </r>
    <r>
      <rPr>
        <i/>
        <sz val="9"/>
        <color rgb="FF6B7280"/>
        <rFont val="Noto Sans CJK SC"/>
        <family val="2"/>
      </rPr>
      <t>開発プロジェクト</t>
    </r>
    <r>
      <rPr>
        <i/>
        <sz val="9"/>
        <color rgb="FF6B7280"/>
        <rFont val="Arial"/>
        <family val="2"/>
      </rPr>
      <t>(</t>
    </r>
    <r>
      <rPr>
        <i/>
        <sz val="9"/>
        <color rgb="FF6B7280"/>
        <rFont val="Noto Sans CJK SC"/>
        <family val="2"/>
      </rPr>
      <t>架空データ・</t>
    </r>
    <r>
      <rPr>
        <i/>
        <sz val="9"/>
        <color rgb="FF6B7280"/>
        <rFont val="Arial"/>
        <family val="2"/>
      </rPr>
      <t>AI</t>
    </r>
    <r>
      <rPr>
        <i/>
        <sz val="9"/>
        <color rgb="FF6B7280"/>
        <rFont val="Noto Sans CJK SC"/>
        <family val="2"/>
      </rPr>
      <t>ポートフォリオ用ケーススタディ</t>
    </r>
    <r>
      <rPr>
        <i/>
        <sz val="9"/>
        <color rgb="FF6B7280"/>
        <rFont val="Arial"/>
        <family val="2"/>
      </rPr>
      <t>)</t>
    </r>
  </si>
  <si>
    <t>注記</t>
  </si>
  <si>
    <t>本データセットは実在の企業・車種・案件とは一切関係のない架空のケーススタディです。本人の実務経験領域(ボディ電装系)との重なりを避けるため、題材は「パーソナル環境演出」という新規性の高い架空ECUとしています。信号表&amp;制御仕様とGUI仕様の不整合という、実務で頻発する課題を主眼に構成しています。</t>
  </si>
  <si>
    <t>項目</t>
  </si>
  <si>
    <t>内容</t>
  </si>
  <si>
    <t>プロジェクト名</t>
  </si>
  <si>
    <r>
      <rPr>
        <sz val="10"/>
        <rFont val="Arial"/>
        <family val="2"/>
      </rPr>
      <t>Ambient Experience Controller(AEC)</t>
    </r>
    <r>
      <rPr>
        <sz val="10"/>
        <rFont val="Noto Sans CJK SC"/>
        <family val="2"/>
      </rPr>
      <t>開発プロジェクト</t>
    </r>
  </si>
  <si>
    <t>架空会社名</t>
  </si>
  <si>
    <t>対象車両</t>
  </si>
  <si>
    <t>架空コンセプトカー「Concept AEC」(量産前提のない技術実証・展示車両という位置づけ)</t>
  </si>
  <si>
    <t>対象ECU</t>
  </si>
  <si>
    <r>
      <rPr>
        <sz val="10"/>
        <rFont val="Arial"/>
        <family val="2"/>
      </rPr>
      <t>AEC(Ambient Experience Controller) PoC</t>
    </r>
    <r>
      <rPr>
        <sz val="10"/>
        <rFont val="Noto Sans CJK SC"/>
        <family val="2"/>
      </rPr>
      <t xml:space="preserve">評価ボード </t>
    </r>
    <r>
      <rPr>
        <sz val="10"/>
        <rFont val="Arial"/>
        <family val="2"/>
      </rPr>
      <t>Rev.0(</t>
    </r>
    <r>
      <rPr>
        <sz val="10"/>
        <rFont val="Noto Sans CJK SC"/>
        <family val="2"/>
      </rPr>
      <t>非量産・ベンチ試作機</t>
    </r>
    <r>
      <rPr>
        <sz val="10"/>
        <rFont val="Arial"/>
        <family val="2"/>
      </rPr>
      <t>)</t>
    </r>
  </si>
  <si>
    <t>プロジェクト種別</t>
  </si>
  <si>
    <t>新規ECU開発 → PoC(概念実証)評価ボードによる先行機能検証(車両搭載を前提としないベンチ試作)</t>
  </si>
  <si>
    <t>開発期間</t>
  </si>
  <si>
    <r>
      <rPr>
        <sz val="10"/>
        <rFont val="Arial"/>
        <family val="2"/>
      </rPr>
      <t>2024</t>
    </r>
    <r>
      <rPr>
        <sz val="10"/>
        <rFont val="Noto Sans CJK SC"/>
        <family val="2"/>
      </rPr>
      <t>年</t>
    </r>
    <r>
      <rPr>
        <sz val="10"/>
        <rFont val="Arial"/>
        <family val="2"/>
      </rPr>
      <t>4</t>
    </r>
    <r>
      <rPr>
        <sz val="10"/>
        <rFont val="Noto Sans CJK SC"/>
        <family val="2"/>
      </rPr>
      <t xml:space="preserve">月 〜 </t>
    </r>
    <r>
      <rPr>
        <sz val="10"/>
        <rFont val="Arial"/>
        <family val="2"/>
      </rPr>
      <t>2025</t>
    </r>
    <r>
      <rPr>
        <sz val="10"/>
        <rFont val="Noto Sans CJK SC"/>
        <family val="2"/>
      </rPr>
      <t>年</t>
    </r>
    <r>
      <rPr>
        <sz val="10"/>
        <rFont val="Arial"/>
        <family val="2"/>
      </rPr>
      <t>9</t>
    </r>
    <r>
      <rPr>
        <sz val="10"/>
        <rFont val="Noto Sans CJK SC"/>
        <family val="2"/>
      </rPr>
      <t>月</t>
    </r>
    <r>
      <rPr>
        <sz val="10"/>
        <rFont val="Arial"/>
        <family val="2"/>
      </rPr>
      <t>(</t>
    </r>
    <r>
      <rPr>
        <sz val="10"/>
        <rFont val="Noto Sans CJK SC"/>
        <family val="2"/>
      </rPr>
      <t>展示車両完成</t>
    </r>
    <r>
      <rPr>
        <sz val="10"/>
        <rFont val="Arial"/>
        <family val="2"/>
      </rPr>
      <t>:2025</t>
    </r>
    <r>
      <rPr>
        <sz val="10"/>
        <rFont val="Noto Sans CJK SC"/>
        <family val="2"/>
      </rPr>
      <t>年</t>
    </r>
    <r>
      <rPr>
        <sz val="10"/>
        <rFont val="Arial"/>
        <family val="2"/>
      </rPr>
      <t>10</t>
    </r>
    <r>
      <rPr>
        <sz val="10"/>
        <rFont val="Noto Sans CJK SC"/>
        <family val="2"/>
      </rPr>
      <t>月予定</t>
    </r>
    <r>
      <rPr>
        <sz val="10"/>
        <rFont val="Arial"/>
        <family val="2"/>
      </rPr>
      <t>)</t>
    </r>
  </si>
  <si>
    <t>主要機能スコープ</t>
  </si>
  <si>
    <t>生体反応推定(気分スコア)/シーンプリセット制御(Calm・Focus・Refresh等)/簡易LEDによるアンビエント発光(将来的な車両アンビエントライト制御の代替出力)/香り拡散(内蔵ファン+カートリッジ)/BGM制御/空調連携/センターディスプレイ(HMI)によるモニタリング・手動オーバーライド。車両外装への連携は将来スコープとし、本PoCでは対象外</t>
  </si>
  <si>
    <t>開発体制</t>
  </si>
  <si>
    <r>
      <rPr>
        <sz val="10"/>
        <rFont val="Arial"/>
        <family val="2"/>
      </rPr>
      <t>PM 1</t>
    </r>
    <r>
      <rPr>
        <sz val="10"/>
        <rFont val="Noto Sans CJK SC"/>
        <family val="2"/>
      </rPr>
      <t>名、</t>
    </r>
    <r>
      <rPr>
        <sz val="10"/>
        <rFont val="Arial"/>
        <family val="2"/>
      </rPr>
      <t>PMO 1</t>
    </r>
    <r>
      <rPr>
        <sz val="10"/>
        <rFont val="Noto Sans CJK SC"/>
        <family val="2"/>
      </rPr>
      <t>名、電装設計</t>
    </r>
    <r>
      <rPr>
        <sz val="10"/>
        <rFont val="Arial"/>
        <family val="2"/>
      </rPr>
      <t>(</t>
    </r>
    <r>
      <rPr>
        <sz val="10"/>
        <rFont val="Noto Sans CJK SC"/>
        <family val="2"/>
      </rPr>
      <t>信号・制御担当</t>
    </r>
    <r>
      <rPr>
        <sz val="10"/>
        <rFont val="Arial"/>
        <family val="2"/>
      </rPr>
      <t>)4</t>
    </r>
    <r>
      <rPr>
        <sz val="10"/>
        <rFont val="Noto Sans CJK SC"/>
        <family val="2"/>
      </rPr>
      <t>名、</t>
    </r>
    <r>
      <rPr>
        <sz val="10"/>
        <rFont val="Arial"/>
        <family val="2"/>
      </rPr>
      <t>HMI/GUI</t>
    </r>
    <r>
      <rPr>
        <sz val="10"/>
        <rFont val="Noto Sans CJK SC"/>
        <family val="2"/>
      </rPr>
      <t xml:space="preserve">デザイン担当 </t>
    </r>
    <r>
      <rPr>
        <sz val="10"/>
        <rFont val="Arial"/>
        <family val="2"/>
      </rPr>
      <t>3</t>
    </r>
    <r>
      <rPr>
        <sz val="10"/>
        <rFont val="Noto Sans CJK SC"/>
        <family val="2"/>
      </rPr>
      <t xml:space="preserve">名、ソフト実装 </t>
    </r>
    <r>
      <rPr>
        <sz val="10"/>
        <rFont val="Arial"/>
        <family val="2"/>
      </rPr>
      <t>7</t>
    </r>
    <r>
      <rPr>
        <sz val="10"/>
        <rFont val="Noto Sans CJK SC"/>
        <family val="2"/>
      </rPr>
      <t xml:space="preserve">名、評価・試験 </t>
    </r>
    <r>
      <rPr>
        <sz val="10"/>
        <rFont val="Arial"/>
        <family val="2"/>
      </rPr>
      <t>4</t>
    </r>
    <r>
      <rPr>
        <sz val="10"/>
        <rFont val="Noto Sans CJK SC"/>
        <family val="2"/>
      </rPr>
      <t>名、サプライヤ</t>
    </r>
    <r>
      <rPr>
        <sz val="10"/>
        <rFont val="Arial"/>
        <family val="2"/>
      </rPr>
      <t>(</t>
    </r>
    <r>
      <rPr>
        <sz val="10"/>
        <rFont val="Noto Sans CJK SC"/>
        <family val="2"/>
      </rPr>
      <t>香りユニット</t>
    </r>
    <r>
      <rPr>
        <sz val="10"/>
        <rFont val="Arial"/>
        <family val="2"/>
      </rPr>
      <t>/</t>
    </r>
    <r>
      <rPr>
        <sz val="10"/>
        <rFont val="Noto Sans CJK SC"/>
        <family val="2"/>
      </rPr>
      <t>照明ユニット各</t>
    </r>
    <r>
      <rPr>
        <sz val="10"/>
        <rFont val="Arial"/>
        <family val="2"/>
      </rPr>
      <t>1</t>
    </r>
    <r>
      <rPr>
        <sz val="10"/>
        <rFont val="Noto Sans CJK SC"/>
        <family val="2"/>
      </rPr>
      <t>社</t>
    </r>
    <r>
      <rPr>
        <sz val="10"/>
        <rFont val="Arial"/>
        <family val="2"/>
      </rPr>
      <t>)</t>
    </r>
  </si>
  <si>
    <t>参照過去機種</t>
  </si>
  <si>
    <t>先行試作機「Concept AEC-Pilot」(2022年、簡易プロトタイプ)/姉妹プロジェクト「Concept Serenity」(2023年、香り機能のみの単機能試作)</t>
  </si>
  <si>
    <t>本データセットの用途</t>
  </si>
  <si>
    <t>②仕様書間矛盾解析エージェント(信号表&amp;制御仕様 vs GUI仕様の不整合検知)/⑦見積もりロジックのスキル化/⑩トレーサビリティ管理ツール のデモ共通基盤</t>
  </si>
  <si>
    <t>■ 本ブックのシート構成</t>
  </si>
  <si>
    <t>・01_要求一覧</t>
  </si>
  <si>
    <t>本プロジェクトの機能要求一覧(REQ-ID付き)</t>
  </si>
  <si>
    <t>・02_仕様書索引</t>
  </si>
  <si>
    <t>要求に紐づく仕様書の一覧。信号表&amp;制御仕様とGUI仕様を作成部門ごとに分けて管理している点がポイント</t>
  </si>
  <si>
    <t>・03_WBSスケジュール</t>
  </si>
  <si>
    <t>工程別タスクとガントデータ(開始日・終了日・進捗)</t>
  </si>
  <si>
    <t>・04_見積もり実績_過去機種</t>
  </si>
  <si>
    <t>過去試作機の類似機能における見積工数と実績工数の比較データ。⑦のデモ基盤</t>
  </si>
  <si>
    <t>・05_見積もり_新規案件</t>
  </si>
  <si>
    <t>本プロジェクトの新規見積り(過去実績を参照した妥当性チェック列付き)</t>
  </si>
  <si>
    <t>・06_不具合票_過去機種</t>
  </si>
  <si>
    <t>過去試作機で発生した不具合の一覧。信号表とGUI仕様の不整合に起因する不具合を含む</t>
  </si>
  <si>
    <t>・07_テストケース一覧</t>
  </si>
  <si>
    <t>本プロジェクトのテストケース一覧(TC-ID付き)</t>
  </si>
  <si>
    <t>・08_トレーサビリティ</t>
  </si>
  <si>
    <t>要求ID⇔仕様書セクション⇔テストケースIDの3点トレースマトリクス。⑩のデモ基盤</t>
  </si>
  <si>
    <t>要求一覧</t>
  </si>
  <si>
    <r>
      <rPr>
        <i/>
        <sz val="9"/>
        <color rgb="FF6B7280"/>
        <rFont val="Arial"/>
        <family val="2"/>
      </rPr>
      <t xml:space="preserve">AEC </t>
    </r>
    <r>
      <rPr>
        <i/>
        <sz val="9"/>
        <color rgb="FF6B7280"/>
        <rFont val="Noto Sans CJK SC"/>
        <family val="2"/>
      </rPr>
      <t>機能要求</t>
    </r>
    <r>
      <rPr>
        <i/>
        <sz val="9"/>
        <color rgb="FF6B7280"/>
        <rFont val="Arial"/>
        <family val="2"/>
      </rPr>
      <t>(REQ-ID)</t>
    </r>
  </si>
  <si>
    <t>要求ID</t>
  </si>
  <si>
    <t>カテゴリ</t>
  </si>
  <si>
    <t>要求内容</t>
  </si>
  <si>
    <t>優先度</t>
  </si>
  <si>
    <t>起票部門</t>
  </si>
  <si>
    <t>起票日</t>
  </si>
  <si>
    <t>関連仕様書ID</t>
  </si>
  <si>
    <t>備考</t>
  </si>
  <si>
    <t>REQ-001</t>
  </si>
  <si>
    <t>気分推定</t>
  </si>
  <si>
    <t>心拍・皮膚電位センサーの信号から乗員の気分スコア(0-100)を算出すること</t>
  </si>
  <si>
    <t>必須</t>
  </si>
  <si>
    <t>電装設計</t>
  </si>
  <si>
    <t>2024-04-10</t>
  </si>
  <si>
    <t>SPEC-SIG-001</t>
  </si>
  <si>
    <t>REQ-002</t>
  </si>
  <si>
    <t>表情認識カメラの結果を気分スコアに重み付け統合すること</t>
  </si>
  <si>
    <t>推奨</t>
  </si>
  <si>
    <t>REQ-003</t>
  </si>
  <si>
    <t>シーン制御</t>
  </si>
  <si>
    <t>気分スコアに応じてCalm/Focus/Refreshの3シーンを自動選択すること</t>
  </si>
  <si>
    <t>商品企画</t>
  </si>
  <si>
    <t>2024-04-15</t>
  </si>
  <si>
    <t>SPEC-SIG-002</t>
  </si>
  <si>
    <t>REQ-004</t>
  </si>
  <si>
    <t>乗員はディスプレイ上でシーンを手動選択・上書きできること</t>
  </si>
  <si>
    <t>SPEC-GUI-001</t>
  </si>
  <si>
    <t>REQ-005</t>
  </si>
  <si>
    <t>アンビエントライト</t>
  </si>
  <si>
    <t>シーンに応じて車内照明の色・明るさを自動制御すること</t>
  </si>
  <si>
    <t>2024-04-20</t>
  </si>
  <si>
    <t>SPEC-SIG-003</t>
  </si>
  <si>
    <t>REQ-006</t>
  </si>
  <si>
    <t>ディスプレイ上に現在の照明色をカラースウォッチで表示すること</t>
  </si>
  <si>
    <t>HMI/GUI</t>
  </si>
  <si>
    <t>SPEC-GUI-002</t>
  </si>
  <si>
    <t>REQ-007</t>
  </si>
  <si>
    <t>香り演出</t>
  </si>
  <si>
    <t>シーンに応じて香りカートリッジを選択し、車内空調(HVAC)と連携して車内(キャビン)に4段階で拡散・強度制御すること(車外への放出は対象外)</t>
  </si>
  <si>
    <t>2024-04-25</t>
  </si>
  <si>
    <t>SPEC-SIG-004</t>
  </si>
  <si>
    <t>REQ-008</t>
  </si>
  <si>
    <t>ディスプレイ上で香り強度をスライダー表示・手動調整できること</t>
  </si>
  <si>
    <t>SPEC-GUI-003</t>
  </si>
  <si>
    <t>REQ-009</t>
  </si>
  <si>
    <t>アレルギー等の理由で香り機能を完全にOFFにできること(安全側フォールバック)</t>
  </si>
  <si>
    <t>安全設計</t>
  </si>
  <si>
    <t>2024-05-01</t>
  </si>
  <si>
    <t>安全要求</t>
  </si>
  <si>
    <t>REQ-010</t>
  </si>
  <si>
    <r>
      <rPr>
        <sz val="10"/>
        <rFont val="Arial"/>
        <family val="2"/>
      </rPr>
      <t>BGM</t>
    </r>
    <r>
      <rPr>
        <sz val="10"/>
        <rFont val="Noto Sans CJK SC"/>
        <family val="2"/>
      </rPr>
      <t>制御</t>
    </r>
  </si>
  <si>
    <t>シーンに応じたアンビエントBGMを自動選曲・再生すること</t>
  </si>
  <si>
    <t>2024-05-05</t>
  </si>
  <si>
    <t>SPEC-SIG-005</t>
  </si>
  <si>
    <t>REQ-011</t>
  </si>
  <si>
    <t>空調連携</t>
  </si>
  <si>
    <t>シーンに応じて空調の温度・風量をわずかに調整すること(既存空調ECUへの制御要求送信)</t>
  </si>
  <si>
    <t>2024-05-10</t>
  </si>
  <si>
    <t>SPEC-SIG-006</t>
  </si>
  <si>
    <t>REQ-012</t>
  </si>
  <si>
    <t>外装連携</t>
  </si>
  <si>
    <t>(将来スコープ)車内シーンに連動し、外装アンビエントライトの発光色を変更すること</t>
  </si>
  <si>
    <t>将来スコープ</t>
  </si>
  <si>
    <t>2024-05-15</t>
  </si>
  <si>
    <t>本PoCでは対象外。車両搭載後の将来検討事項として保留(乗員の感情情報を車外に開示するプライバシー上の懸念があるため、採用時は表現内容を要検討)</t>
  </si>
  <si>
    <t>REQ-013</t>
  </si>
  <si>
    <r>
      <rPr>
        <sz val="10"/>
        <rFont val="Arial"/>
        <family val="2"/>
      </rPr>
      <t>HMI</t>
    </r>
    <r>
      <rPr>
        <sz val="10"/>
        <rFont val="Noto Sans CJK SC"/>
        <family val="2"/>
      </rPr>
      <t>表示</t>
    </r>
  </si>
  <si>
    <t>現在のシーン名・気分スコア・各アクチュエータの状態を1画面に集約表示すること</t>
  </si>
  <si>
    <t>2024-05-20</t>
  </si>
  <si>
    <t>REQ-014</t>
  </si>
  <si>
    <t>多言語(日・英・中)でシーン名・設定項目名を表示できること</t>
  </si>
  <si>
    <t>海外事業部</t>
  </si>
  <si>
    <t>SPEC-GUI-004</t>
  </si>
  <si>
    <t>REQ-015</t>
  </si>
  <si>
    <t>診断/ログ</t>
  </si>
  <si>
    <t>気分推定ロジックの入出力値を診断ログとして記録できること(チューニング用)</t>
  </si>
  <si>
    <t>2024-05-25</t>
  </si>
  <si>
    <t>SPEC-SIG-007</t>
  </si>
  <si>
    <t>REQ-016</t>
  </si>
  <si>
    <t>安全機能</t>
  </si>
  <si>
    <t>香り拡散ユニットは連続稼働30分ごとに強制休止し、過剰噴霧を防止すること</t>
  </si>
  <si>
    <t>REQ-017</t>
  </si>
  <si>
    <t>ジェスチャー操作</t>
  </si>
  <si>
    <r>
      <rPr>
        <sz val="10"/>
        <rFont val="Arial"/>
        <family val="2"/>
      </rPr>
      <t>A</t>
    </r>
    <r>
      <rPr>
        <sz val="10"/>
        <rFont val="Noto Sans CJK SC"/>
        <family val="2"/>
      </rPr>
      <t>ピラー付近のジェスチャーセンサーで簡易操作</t>
    </r>
    <r>
      <rPr>
        <sz val="10"/>
        <rFont val="Arial"/>
        <family val="2"/>
      </rPr>
      <t>(</t>
    </r>
    <r>
      <rPr>
        <sz val="10"/>
        <rFont val="Noto Sans CJK SC"/>
        <family val="2"/>
      </rPr>
      <t>承認</t>
    </r>
    <r>
      <rPr>
        <sz val="10"/>
        <rFont val="Arial"/>
        <family val="2"/>
      </rPr>
      <t>/</t>
    </r>
    <r>
      <rPr>
        <sz val="10"/>
        <rFont val="Noto Sans CJK SC"/>
        <family val="2"/>
      </rPr>
      <t>却下</t>
    </r>
    <r>
      <rPr>
        <sz val="10"/>
        <rFont val="Arial"/>
        <family val="2"/>
      </rPr>
      <t>)</t>
    </r>
    <r>
      <rPr>
        <sz val="10"/>
        <rFont val="Noto Sans CJK SC"/>
        <family val="2"/>
      </rPr>
      <t>ができること</t>
    </r>
  </si>
  <si>
    <t>2024-06-01</t>
  </si>
  <si>
    <t>SPEC-GUI-005</t>
  </si>
  <si>
    <t>仕様書索引</t>
  </si>
  <si>
    <t>仕様書ID</t>
  </si>
  <si>
    <t>仕様書名</t>
  </si>
  <si>
    <t>系統</t>
  </si>
  <si>
    <t>版数</t>
  </si>
  <si>
    <t>発行部門</t>
  </si>
  <si>
    <t>最終更新日</t>
  </si>
  <si>
    <t>対応要求ID</t>
  </si>
  <si>
    <t>Ver1.2</t>
  </si>
  <si>
    <t>電装設計部</t>
  </si>
  <si>
    <t>2024-08-10</t>
  </si>
  <si>
    <t>REQ-001,REQ-002</t>
  </si>
  <si>
    <t>Ver1.3</t>
  </si>
  <si>
    <t>2024-08-20</t>
  </si>
  <si>
    <t>Ver1.4</t>
  </si>
  <si>
    <t>2024-09-05</t>
  </si>
  <si>
    <t>REQ-005,REQ-012</t>
  </si>
  <si>
    <r>
      <rPr>
        <sz val="10"/>
        <rFont val="Arial"/>
        <family val="2"/>
      </rPr>
      <t>Light_Color_Code</t>
    </r>
    <r>
      <rPr>
        <sz val="10"/>
        <rFont val="Noto Sans CJK SC"/>
        <family val="2"/>
      </rPr>
      <t>の定義元。改版時に</t>
    </r>
    <r>
      <rPr>
        <sz val="10"/>
        <rFont val="Arial"/>
        <family val="2"/>
      </rPr>
      <t>GUI</t>
    </r>
    <r>
      <rPr>
        <sz val="10"/>
        <rFont val="Noto Sans CJK SC"/>
        <family val="2"/>
      </rPr>
      <t>側への周知が漏れやすい</t>
    </r>
  </si>
  <si>
    <t>Ver1.1</t>
  </si>
  <si>
    <t>2024-08-25</t>
  </si>
  <si>
    <t>REQ-007,REQ-009,REQ-016</t>
  </si>
  <si>
    <t>Ver1.0</t>
  </si>
  <si>
    <t>2024-07-20</t>
  </si>
  <si>
    <t>2024-07-25</t>
  </si>
  <si>
    <t>診断ログ仕様書</t>
  </si>
  <si>
    <t>2024-08-01</t>
  </si>
  <si>
    <t>メイン画面(シーン表示)GUI仕様書</t>
  </si>
  <si>
    <t>GUI</t>
  </si>
  <si>
    <t>Ver1.5</t>
  </si>
  <si>
    <r>
      <rPr>
        <sz val="10"/>
        <rFont val="Arial"/>
        <family val="2"/>
      </rPr>
      <t>HMI/GUI</t>
    </r>
    <r>
      <rPr>
        <sz val="10"/>
        <rFont val="Noto Sans CJK SC"/>
        <family val="2"/>
      </rPr>
      <t>デザイン担当</t>
    </r>
  </si>
  <si>
    <t>2024-09-20</t>
  </si>
  <si>
    <t>REQ-004,REQ-013</t>
  </si>
  <si>
    <t>アンビエントライト設定画面 GUI仕様書</t>
  </si>
  <si>
    <t>2024-09-15</t>
  </si>
  <si>
    <r>
      <rPr>
        <sz val="10"/>
        <rFont val="Arial"/>
        <family val="2"/>
      </rPr>
      <t>SPEC-SIG-003</t>
    </r>
    <r>
      <rPr>
        <sz val="10"/>
        <rFont val="Noto Sans CJK SC"/>
        <family val="2"/>
      </rPr>
      <t>改版</t>
    </r>
    <r>
      <rPr>
        <sz val="10"/>
        <rFont val="Arial"/>
        <family val="2"/>
      </rPr>
      <t>(Ver1.4)</t>
    </r>
    <r>
      <rPr>
        <sz val="10"/>
        <rFont val="Noto Sans CJK SC"/>
        <family val="2"/>
      </rPr>
      <t>後、配色刷新を先行反映。信号表側と対応関係が未確認</t>
    </r>
  </si>
  <si>
    <t>香り設定画面 GUI仕様書</t>
  </si>
  <si>
    <t>2024-08-28</t>
  </si>
  <si>
    <t>多言語表示 GUI仕様書</t>
  </si>
  <si>
    <t>2024-08-05</t>
  </si>
  <si>
    <t>ジェスチャー操作 GUI仕様書</t>
  </si>
  <si>
    <r>
      <rPr>
        <b/>
        <sz val="14"/>
        <color rgb="FF1B2A4A"/>
        <rFont val="Arial"/>
        <family val="2"/>
      </rPr>
      <t>WBS/</t>
    </r>
    <r>
      <rPr>
        <b/>
        <sz val="14"/>
        <color rgb="FF1B2A4A"/>
        <rFont val="Noto Sans CJK SC"/>
        <family val="2"/>
      </rPr>
      <t>スケジュール</t>
    </r>
  </si>
  <si>
    <t>工程別タスク一覧(ガントデータ)</t>
  </si>
  <si>
    <t>No</t>
  </si>
  <si>
    <t>フェーズ</t>
  </si>
  <si>
    <t>タスク名</t>
  </si>
  <si>
    <t>担当</t>
  </si>
  <si>
    <t>開始日</t>
  </si>
  <si>
    <t>終了日</t>
  </si>
  <si>
    <t>所要日数</t>
  </si>
  <si>
    <t>進捗率</t>
  </si>
  <si>
    <t>ステータス</t>
  </si>
  <si>
    <t>要件定義</t>
  </si>
  <si>
    <t>商品企画要求のとりまとめ</t>
  </si>
  <si>
    <t>2024-04-01</t>
  </si>
  <si>
    <t>2024-05-09</t>
  </si>
  <si>
    <t>完了</t>
  </si>
  <si>
    <t>要求レビュー・確定(REQ一覧FIX)</t>
  </si>
  <si>
    <t>PM/PMO</t>
  </si>
  <si>
    <t>2024-05-23</t>
  </si>
  <si>
    <t>基本設計</t>
  </si>
  <si>
    <t>気分推定/シーン制御 基本設計</t>
  </si>
  <si>
    <t>2024-05-27</t>
  </si>
  <si>
    <t>2024-07-04</t>
  </si>
  <si>
    <t>アンビエントライト/香り演出 基本設計</t>
  </si>
  <si>
    <t>2024-07-18</t>
  </si>
  <si>
    <r>
      <rPr>
        <sz val="10"/>
        <rFont val="Arial"/>
        <family val="2"/>
      </rPr>
      <t>HMI/GUI</t>
    </r>
    <r>
      <rPr>
        <sz val="10"/>
        <rFont val="Noto Sans CJK SC"/>
        <family val="2"/>
      </rPr>
      <t>画面設計</t>
    </r>
    <r>
      <rPr>
        <sz val="10"/>
        <rFont val="Arial"/>
        <family val="2"/>
      </rPr>
      <t>(</t>
    </r>
    <r>
      <rPr>
        <sz val="10"/>
        <rFont val="Noto Sans CJK SC"/>
        <family val="2"/>
      </rPr>
      <t>信号表と並行着手</t>
    </r>
    <r>
      <rPr>
        <sz val="10"/>
        <rFont val="Arial"/>
        <family val="2"/>
      </rPr>
      <t>)</t>
    </r>
  </si>
  <si>
    <r>
      <rPr>
        <sz val="10"/>
        <rFont val="Arial"/>
        <family val="2"/>
      </rPr>
      <t>HMI/GUI</t>
    </r>
    <r>
      <rPr>
        <sz val="10"/>
        <rFont val="Noto Sans CJK SC"/>
        <family val="2"/>
      </rPr>
      <t>デザイン</t>
    </r>
  </si>
  <si>
    <t>2024-06-10</t>
  </si>
  <si>
    <t>基本設計レビュー(DR1)</t>
  </si>
  <si>
    <t>2024-07-29</t>
  </si>
  <si>
    <t>詳細設計</t>
  </si>
  <si>
    <t>信号表&amp;制御仕様 詳細化</t>
  </si>
  <si>
    <t>2024-08-04</t>
  </si>
  <si>
    <t>2024-09-26</t>
  </si>
  <si>
    <r>
      <rPr>
        <sz val="10"/>
        <rFont val="Arial"/>
        <family val="2"/>
      </rPr>
      <t>GUI</t>
    </r>
    <r>
      <rPr>
        <sz val="10"/>
        <rFont val="Noto Sans CJK SC"/>
        <family val="2"/>
      </rPr>
      <t>仕様 詳細化</t>
    </r>
    <r>
      <rPr>
        <sz val="10"/>
        <rFont val="Arial"/>
        <family val="2"/>
      </rPr>
      <t>(</t>
    </r>
    <r>
      <rPr>
        <sz val="10"/>
        <rFont val="Noto Sans CJK SC"/>
        <family val="2"/>
      </rPr>
      <t>配色・レイアウト確定</t>
    </r>
    <r>
      <rPr>
        <sz val="10"/>
        <rFont val="Arial"/>
        <family val="2"/>
      </rPr>
      <t>)</t>
    </r>
  </si>
  <si>
    <t>2024-10-10</t>
  </si>
  <si>
    <t>進行中</t>
  </si>
  <si>
    <t>信号表⇔GUI仕様 整合性レビュー</t>
  </si>
  <si>
    <t>2024-10-14</t>
  </si>
  <si>
    <t>2024-10-18</t>
  </si>
  <si>
    <t>詳細設計レビュー(DR2)</t>
  </si>
  <si>
    <t>2024-10-21</t>
  </si>
  <si>
    <t>2024-10-25</t>
  </si>
  <si>
    <t>実装</t>
  </si>
  <si>
    <t>気分推定/シーン制御 実装</t>
  </si>
  <si>
    <t>ソフト実装</t>
  </si>
  <si>
    <t>2024-10-28</t>
  </si>
  <si>
    <t>2025-01-17</t>
  </si>
  <si>
    <t>未着手</t>
  </si>
  <si>
    <t>アンビエントライト/香り演出 実装</t>
  </si>
  <si>
    <t>2024-11-11</t>
  </si>
  <si>
    <t>2025-01-31</t>
  </si>
  <si>
    <r>
      <rPr>
        <sz val="10"/>
        <rFont val="Arial"/>
        <family val="2"/>
      </rPr>
      <t>HMI</t>
    </r>
    <r>
      <rPr>
        <sz val="10"/>
        <rFont val="Noto Sans CJK SC"/>
        <family val="2"/>
      </rPr>
      <t>画面実装</t>
    </r>
  </si>
  <si>
    <t>2025-02-07</t>
  </si>
  <si>
    <t>単体試験</t>
  </si>
  <si>
    <t>モジュール単体試験</t>
  </si>
  <si>
    <t>評価・試験</t>
  </si>
  <si>
    <t>2025-02-10</t>
  </si>
  <si>
    <t>2025-03-14</t>
  </si>
  <si>
    <t>結合試験</t>
  </si>
  <si>
    <t>機能間結合試験(信号表⇔GUI整合性含む)</t>
  </si>
  <si>
    <t>2025-03-17</t>
  </si>
  <si>
    <t>2025-04-25</t>
  </si>
  <si>
    <t>システム試験</t>
  </si>
  <si>
    <t>展示車両搭載評価</t>
  </si>
  <si>
    <t>2025-04-28</t>
  </si>
  <si>
    <t>2025-06-27</t>
  </si>
  <si>
    <t>出荷判定</t>
  </si>
  <si>
    <t>展示判定会議(DR3)</t>
  </si>
  <si>
    <t>2025-07-14</t>
  </si>
  <si>
    <t>2025-07-18</t>
  </si>
  <si>
    <t>完成</t>
  </si>
  <si>
    <t>展示車両完成</t>
  </si>
  <si>
    <t>全体</t>
  </si>
  <si>
    <t>2025-09-22</t>
  </si>
  <si>
    <t>2025-09-30</t>
  </si>
  <si>
    <t>全体進捗率(単純平均)</t>
  </si>
  <si>
    <t>見積もり実績(過去試作機)</t>
  </si>
  <si>
    <t>⑦見積もりロジックのデモ基盤:類似機能の見積/実績データ</t>
  </si>
  <si>
    <t>試作機</t>
  </si>
  <si>
    <t>年式</t>
  </si>
  <si>
    <t>機能カテゴリ</t>
  </si>
  <si>
    <t>機能項目</t>
  </si>
  <si>
    <t>見積工数(人日)</t>
  </si>
  <si>
    <t>実績工数(人日)</t>
  </si>
  <si>
    <t>差異(人日)</t>
  </si>
  <si>
    <t>差異率</t>
  </si>
  <si>
    <t>工数超過の主要因</t>
  </si>
  <si>
    <t>Concept AEC-Pilot</t>
  </si>
  <si>
    <t>心拍センサーからの気分スコア算出</t>
  </si>
  <si>
    <t>センサーノイズ除去ロジックの作り込みで手戻り</t>
  </si>
  <si>
    <r>
      <rPr>
        <sz val="10"/>
        <rFont val="Arial"/>
        <family val="2"/>
      </rPr>
      <t>3</t>
    </r>
    <r>
      <rPr>
        <sz val="10"/>
        <rFont val="Noto Sans CJK SC"/>
        <family val="2"/>
      </rPr>
      <t>シーン自動選択ロジック</t>
    </r>
  </si>
  <si>
    <t>メイン画面(シーン表示)実装</t>
  </si>
  <si>
    <t>信号表側の値定義変更にGUI側の対応が追従できず手戻り</t>
  </si>
  <si>
    <t>Concept Serenity</t>
  </si>
  <si>
    <r>
      <rPr>
        <sz val="10"/>
        <rFont val="Arial"/>
        <family val="2"/>
      </rPr>
      <t>4</t>
    </r>
    <r>
      <rPr>
        <sz val="10"/>
        <rFont val="Noto Sans CJK SC"/>
        <family val="2"/>
      </rPr>
      <t>段階強度制御</t>
    </r>
  </si>
  <si>
    <t>安全側フォールバック(強制OFF)</t>
  </si>
  <si>
    <t>安全要求の作り込みに想定超の評価工数</t>
  </si>
  <si>
    <t>香り設定画面実装</t>
  </si>
  <si>
    <t>信号表の強度レベル定義(0-3)とGUIの表示レベル(1-4)がズレて手戻り</t>
  </si>
  <si>
    <t>香り拡散ユニットの稼働ログ記録</t>
  </si>
  <si>
    <t>平均差異率(全試作機)</t>
  </si>
  <si>
    <r>
      <rPr>
        <sz val="11"/>
        <color theme="1"/>
        <rFont val="Calibri"/>
        <family val="2"/>
        <charset val="1"/>
      </rPr>
      <t>HMI/GUI</t>
    </r>
    <r>
      <rPr>
        <sz val="11"/>
        <color theme="1"/>
        <rFont val="Noto Sans CJK SC"/>
        <family val="2"/>
      </rPr>
      <t>関連機能は過去</t>
    </r>
    <r>
      <rPr>
        <sz val="11"/>
        <color theme="1"/>
        <rFont val="Calibri"/>
        <family val="2"/>
        <charset val="1"/>
      </rPr>
      <t>2</t>
    </r>
    <r>
      <rPr>
        <sz val="11"/>
        <color theme="1"/>
        <rFont val="Noto Sans CJK SC"/>
        <family val="2"/>
      </rPr>
      <t>試作機とも工数超過が突出。原因はいずれも「信号表側の値定義と</t>
    </r>
    <r>
      <rPr>
        <sz val="11"/>
        <color theme="1"/>
        <rFont val="Calibri"/>
        <family val="2"/>
        <charset val="1"/>
      </rPr>
      <t>GUI</t>
    </r>
    <r>
      <rPr>
        <sz val="11"/>
        <color theme="1"/>
        <rFont val="Noto Sans CJK SC"/>
        <family val="2"/>
      </rPr>
      <t>側の表示定義の不整合による手戻り」。⑦のデモではこの傾向を根拠に新規見積りへの警告ロジックを実装予定。</t>
    </r>
  </si>
  <si>
    <t>新規見積り(AEC)</t>
  </si>
  <si>
    <t>過去実績を参照した見積り妥当性チェック</t>
  </si>
  <si>
    <t>新規見積工数(人日)</t>
  </si>
  <si>
    <t>参照する過去実績(平均差異率)</t>
  </si>
  <si>
    <t>妥当性チェック(見積×(1+差異率))</t>
  </si>
  <si>
    <t>判定</t>
  </si>
  <si>
    <t>メイン画面+アンビエントライト設定画面 実装</t>
  </si>
  <si>
    <t>心拍+表情カメラ統合ロジック</t>
  </si>
  <si>
    <r>
      <rPr>
        <sz val="10"/>
        <rFont val="Arial"/>
        <family val="2"/>
      </rPr>
      <t>4</t>
    </r>
    <r>
      <rPr>
        <sz val="10"/>
        <rFont val="Noto Sans CJK SC"/>
        <family val="2"/>
      </rPr>
      <t>段階強度制御</t>
    </r>
    <r>
      <rPr>
        <sz val="10"/>
        <rFont val="Arial"/>
        <family val="2"/>
      </rPr>
      <t>+</t>
    </r>
    <r>
      <rPr>
        <sz val="10"/>
        <rFont val="Noto Sans CJK SC"/>
        <family val="2"/>
      </rPr>
      <t>安全側フォールバック</t>
    </r>
  </si>
  <si>
    <t>※本シートは⑦見積もりロジックのデモにおける「妥当性チェック」の考え方を簡易表現したサンプルです。実デモでは類似案件検索(過去実績DB全体からの近傍抽出)ロジックに置き換える想定。</t>
  </si>
  <si>
    <t>不具合票(過去試作機)</t>
  </si>
  <si>
    <t>信号表とGUI仕様の不整合に起因する不具合を中心に収録</t>
  </si>
  <si>
    <t>不具合ID</t>
  </si>
  <si>
    <t>発見工程</t>
  </si>
  <si>
    <t>概要</t>
  </si>
  <si>
    <t>原因分類</t>
  </si>
  <si>
    <t>重大度</t>
  </si>
  <si>
    <t>対策・水平展開</t>
  </si>
  <si>
    <t>DEF-2022-004</t>
  </si>
  <si>
    <t>信号表でLight_Color_Code=0x02は「Amber」定義だが、GUI画面では「Yellow」のスウォッチで表示されており、乗員から見た色名と実際の発光色が一致しない</t>
  </si>
  <si>
    <t>仕様書間不整合</t>
  </si>
  <si>
    <t>中</t>
  </si>
  <si>
    <t>信号表とGUI仕様の色定義を1つの共通マスタ(色コード表)に統合。次期案件のSPEC-GUI-002作成ルールに反映</t>
  </si>
  <si>
    <t>DEF-2022-011</t>
  </si>
  <si>
    <t>手動でシーンを上書きした直後、信号表側のシーン状態(現在値)がGUI側の表示に反映されるまで約2秒のタイムラグがあり、ボタン連打で表示が不整合になる</t>
  </si>
  <si>
    <t>設計考慮漏れ</t>
  </si>
  <si>
    <t>軽微</t>
  </si>
  <si>
    <t>状態同期のポーリング間隔を短縮</t>
  </si>
  <si>
    <t>DEF-2023-006</t>
  </si>
  <si>
    <t>信号表の強度レベルは0-3(4段階)で定義されているが、GUI仕様書のスライダーは1-4表記になっており、GUI側で選択した「レベル4」が信号表上は未定義値として扱われエラーになる</t>
  </si>
  <si>
    <t>重大</t>
  </si>
  <si>
    <t>レベル表記(0始まり/1始まり)を統一。仕様書のレビュープロセスに「信号表↔GUI仕様の値域一致チェック」を追加</t>
  </si>
  <si>
    <t>DEF-2023-013</t>
  </si>
  <si>
    <t>実車評価</t>
  </si>
  <si>
    <t>安全側フォールバック(強制OFF)発動時、信号表上はOFF状態になっているが、GUI画面には直前の強度設定がそのまま表示され続け、乗員に誤解を与える</t>
  </si>
  <si>
    <t>フォールバック発動時のGUI表示仕様を明文化し、信号表の状態遷移とGUI表示の対応表を仕様書に追加</t>
  </si>
  <si>
    <t>DEF-2023-018</t>
  </si>
  <si>
    <t>香り拡散ユニットの30分強制休止後、再開までのカウントダウンがGUI画面に表示されず、乗員が故障と誤認する</t>
  </si>
  <si>
    <t>カウントダウン表示をGUI仕様に追加要求として起票</t>
  </si>
  <si>
    <t>DEF-2022-019</t>
  </si>
  <si>
    <t>直射日光下で表情認識カメラの精度が著しく低下し、気分スコアが不安定になる</t>
  </si>
  <si>
    <t>評価不足</t>
  </si>
  <si>
    <t>逆光補正ロジックを追加。次期案件の評価項目に直射日光下パターンを追加</t>
  </si>
  <si>
    <t>テストケース一覧</t>
  </si>
  <si>
    <r>
      <rPr>
        <i/>
        <sz val="9"/>
        <color rgb="FF6B7280"/>
        <rFont val="Arial"/>
        <family val="2"/>
      </rPr>
      <t xml:space="preserve">AEC </t>
    </r>
    <r>
      <rPr>
        <i/>
        <sz val="9"/>
        <color rgb="FF6B7280"/>
        <rFont val="Noto Sans CJK SC"/>
        <family val="2"/>
      </rPr>
      <t>システム試験レベルのテストケース</t>
    </r>
  </si>
  <si>
    <t>TC-ID</t>
  </si>
  <si>
    <t>試験項目</t>
  </si>
  <si>
    <t>前提条件</t>
  </si>
  <si>
    <t>期待結果</t>
  </si>
  <si>
    <t>試験工程</t>
  </si>
  <si>
    <t>結果</t>
  </si>
  <si>
    <t>TC-001</t>
  </si>
  <si>
    <t>心拍センサーによる気分スコア算出</t>
  </si>
  <si>
    <t>静止・安静状態</t>
  </si>
  <si>
    <t>気分スコアが妥当な範囲(0-100)で安定算出される</t>
  </si>
  <si>
    <t>未実施</t>
  </si>
  <si>
    <t>TC-002</t>
  </si>
  <si>
    <t>シーン自動選択</t>
  </si>
  <si>
    <t>気分スコアを各閾値付近に設定</t>
  </si>
  <si>
    <t>スコアに応じたシーンが正しく選択される</t>
  </si>
  <si>
    <t>TC-003</t>
  </si>
  <si>
    <t>REQ-005/REQ-006</t>
  </si>
  <si>
    <t>アンビエントライト色と画面表示の整合性</t>
  </si>
  <si>
    <t>各シーンに切替</t>
  </si>
  <si>
    <t>信号表定義の発光色とGUI画面のカラースウォッチが一致する(DEF-2022-004の水平展開確認)</t>
  </si>
  <si>
    <t>TC-004</t>
  </si>
  <si>
    <t>REQ-007/REQ-008</t>
  </si>
  <si>
    <t>香り強度と画面スライダーの整合性</t>
  </si>
  <si>
    <t>強度レベルを0〜3(信号表基準)で順に変更</t>
  </si>
  <si>
    <r>
      <rPr>
        <sz val="10"/>
        <rFont val="Arial"/>
        <family val="2"/>
      </rPr>
      <t>GUI</t>
    </r>
    <r>
      <rPr>
        <sz val="10"/>
        <rFont val="Noto Sans CJK SC"/>
        <family val="2"/>
      </rPr>
      <t>スライダーの表示値と実際の強度が一致する</t>
    </r>
    <r>
      <rPr>
        <sz val="10"/>
        <rFont val="Arial"/>
        <family val="2"/>
      </rPr>
      <t>(DEF-2023-006</t>
    </r>
    <r>
      <rPr>
        <sz val="10"/>
        <rFont val="Noto Sans CJK SC"/>
        <family val="2"/>
      </rPr>
      <t>の水平展開確認</t>
    </r>
    <r>
      <rPr>
        <sz val="10"/>
        <rFont val="Arial"/>
        <family val="2"/>
      </rPr>
      <t>)</t>
    </r>
  </si>
  <si>
    <t>TC-005</t>
  </si>
  <si>
    <t>REQ-009/REQ-016</t>
  </si>
  <si>
    <t>香り安全側フォールバック</t>
  </si>
  <si>
    <t>連続稼働30分経過、またはOFF操作</t>
  </si>
  <si>
    <t>強制OFFとなり、GUI表示も即座にOFF状態へ更新される(DEF-2023-013の水平展開確認)</t>
  </si>
  <si>
    <t>TC-006</t>
  </si>
  <si>
    <t>シーン手動上書きの表示同期</t>
  </si>
  <si>
    <t>自動選択中に手動でシーン変更</t>
  </si>
  <si>
    <t>変更後2秒以内にGUI表示が同期する(DEF-2022-011の水平展開確認)</t>
  </si>
  <si>
    <t>TC-007</t>
  </si>
  <si>
    <t>シーン連動BGM自動再生</t>
  </si>
  <si>
    <t>シーン切替</t>
  </si>
  <si>
    <t>シーンに対応したBGMが再生される</t>
  </si>
  <si>
    <t>TC-008</t>
  </si>
  <si>
    <t>空調連携制御</t>
  </si>
  <si>
    <t>空調ECUへの制御要求が送信され、温度・風量が調整される</t>
  </si>
  <si>
    <t>TC-009</t>
  </si>
  <si>
    <r>
      <rPr>
        <sz val="10"/>
        <rFont val="Arial"/>
        <family val="2"/>
      </rPr>
      <t>REQ-012(</t>
    </r>
    <r>
      <rPr>
        <sz val="10"/>
        <rFont val="Noto Sans CJK SC"/>
        <family val="2"/>
      </rPr>
      <t>将来</t>
    </r>
    <r>
      <rPr>
        <sz val="10"/>
        <rFont val="Arial"/>
        <family val="2"/>
      </rPr>
      <t>)</t>
    </r>
  </si>
  <si>
    <t>外装ライト連動(将来スコープ・本PoCでは対象外)</t>
  </si>
  <si>
    <t>外装アンビエントライトの発光色が車内シーンと連動して変化する</t>
  </si>
  <si>
    <t>対象外</t>
  </si>
  <si>
    <t>TC-010</t>
  </si>
  <si>
    <r>
      <rPr>
        <sz val="10"/>
        <rFont val="Arial"/>
        <family val="2"/>
      </rPr>
      <t>HMI</t>
    </r>
    <r>
      <rPr>
        <sz val="10"/>
        <rFont val="Noto Sans CJK SC"/>
        <family val="2"/>
      </rPr>
      <t>メイン画面の情報集約表示</t>
    </r>
  </si>
  <si>
    <r>
      <rPr>
        <sz val="10"/>
        <rFont val="Arial"/>
        <family val="2"/>
      </rPr>
      <t>AEC</t>
    </r>
    <r>
      <rPr>
        <sz val="10"/>
        <rFont val="Noto Sans CJK SC"/>
        <family val="2"/>
      </rPr>
      <t>動作中</t>
    </r>
  </si>
  <si>
    <t>シーン名・気分スコア・各アクチュエータ状態が1画面に表示される</t>
  </si>
  <si>
    <t>TC-011</t>
  </si>
  <si>
    <t>多言語表示切替</t>
  </si>
  <si>
    <r>
      <rPr>
        <sz val="10"/>
        <rFont val="Arial"/>
        <family val="2"/>
      </rPr>
      <t>UI</t>
    </r>
    <r>
      <rPr>
        <sz val="10"/>
        <rFont val="Noto Sans CJK SC"/>
        <family val="2"/>
      </rPr>
      <t>言語を日→英→中へ切替</t>
    </r>
  </si>
  <si>
    <t>シーン名・設定項目名が選択言語で表示される</t>
  </si>
  <si>
    <t>TC-012</t>
  </si>
  <si>
    <t>診断ログ記録</t>
  </si>
  <si>
    <t>気分推定ロジック動作中</t>
  </si>
  <si>
    <t>入出力値が診断ログに記録される</t>
  </si>
  <si>
    <t>TC-013</t>
  </si>
  <si>
    <r>
      <rPr>
        <sz val="10"/>
        <rFont val="Arial"/>
        <family val="2"/>
      </rPr>
      <t>A</t>
    </r>
    <r>
      <rPr>
        <sz val="10"/>
        <rFont val="Noto Sans CJK SC"/>
        <family val="2"/>
      </rPr>
      <t>ピラー付近でジェスチャー動作</t>
    </r>
  </si>
  <si>
    <t>承認/却下の簡易操作が認識される</t>
  </si>
  <si>
    <t>トレーサビリティマトリクス</t>
  </si>
  <si>
    <t>要求ID ⇔ 仕様書セクション(信号表/GUI) ⇔ テストケースID</t>
  </si>
  <si>
    <t>要求内容(要約)</t>
  </si>
  <si>
    <t>信号表&amp;制御仕様ID</t>
  </si>
  <si>
    <r>
      <rPr>
        <b/>
        <sz val="10"/>
        <color rgb="FFFFFFFF"/>
        <rFont val="Arial"/>
        <family val="2"/>
      </rPr>
      <t>GUI</t>
    </r>
    <r>
      <rPr>
        <b/>
        <sz val="10"/>
        <color rgb="FFFFFFFF"/>
        <rFont val="Noto Sans CJK SC"/>
        <family val="2"/>
      </rPr>
      <t>仕様</t>
    </r>
    <r>
      <rPr>
        <b/>
        <sz val="10"/>
        <color rgb="FFFFFFFF"/>
        <rFont val="Arial"/>
        <family val="2"/>
      </rPr>
      <t>ID</t>
    </r>
  </si>
  <si>
    <t>テストケースID</t>
  </si>
  <si>
    <t>トレース状態</t>
  </si>
  <si>
    <t>気分スコア算出</t>
  </si>
  <si>
    <t>-</t>
  </si>
  <si>
    <t>OK</t>
  </si>
  <si>
    <t>シーン手動上書き</t>
  </si>
  <si>
    <t>アンビエントライト自動制御</t>
  </si>
  <si>
    <r>
      <rPr>
        <sz val="10"/>
        <rFont val="Arial"/>
        <family val="2"/>
      </rPr>
      <t>NG:</t>
    </r>
    <r>
      <rPr>
        <sz val="10"/>
        <rFont val="Noto Sans CJK SC"/>
        <family val="2"/>
      </rPr>
      <t>信号表</t>
    </r>
    <r>
      <rPr>
        <sz val="10"/>
        <rFont val="Arial"/>
        <family val="2"/>
      </rPr>
      <t>Ver1.4</t>
    </r>
    <r>
      <rPr>
        <sz val="10"/>
        <rFont val="Noto Sans CJK SC"/>
        <family val="2"/>
      </rPr>
      <t>と</t>
    </r>
    <r>
      <rPr>
        <sz val="10"/>
        <rFont val="Arial"/>
        <family val="2"/>
      </rPr>
      <t>GUI</t>
    </r>
    <r>
      <rPr>
        <sz val="10"/>
        <rFont val="Noto Sans CJK SC"/>
        <family val="2"/>
      </rPr>
      <t>仕様の色コード対応関係が未確認</t>
    </r>
    <r>
      <rPr>
        <sz val="10"/>
        <rFont val="Arial"/>
        <family val="2"/>
      </rPr>
      <t>(DEF-2022-004</t>
    </r>
    <r>
      <rPr>
        <sz val="10"/>
        <rFont val="Noto Sans CJK SC"/>
        <family val="2"/>
      </rPr>
      <t>と同種</t>
    </r>
    <r>
      <rPr>
        <sz val="10"/>
        <rFont val="Arial"/>
        <family val="2"/>
      </rPr>
      <t>)</t>
    </r>
  </si>
  <si>
    <t>ライト色のGUI表示</t>
  </si>
  <si>
    <r>
      <rPr>
        <sz val="10"/>
        <rFont val="Arial"/>
        <family val="2"/>
      </rPr>
      <t>NG:REQ-005</t>
    </r>
    <r>
      <rPr>
        <sz val="10"/>
        <rFont val="Noto Sans CJK SC"/>
        <family val="2"/>
      </rPr>
      <t>と同じ不整合</t>
    </r>
  </si>
  <si>
    <t>香り強度制御</t>
  </si>
  <si>
    <t>要確認:強度レベルの値域表記(0始まり/1始まり)の統一が未完了</t>
  </si>
  <si>
    <t>香り強度のGUI表示</t>
  </si>
  <si>
    <t>要確認:REQ-007と同じ懸念</t>
  </si>
  <si>
    <r>
      <rPr>
        <sz val="10"/>
        <rFont val="Arial"/>
        <family val="2"/>
      </rPr>
      <t>OK(DEF-2023-013</t>
    </r>
    <r>
      <rPr>
        <sz val="10"/>
        <rFont val="Noto Sans CJK SC"/>
        <family val="2"/>
      </rPr>
      <t>反映確認含む</t>
    </r>
    <r>
      <rPr>
        <sz val="10"/>
        <rFont val="Arial"/>
        <family val="2"/>
      </rPr>
      <t>)</t>
    </r>
  </si>
  <si>
    <t>シーン連動BGM</t>
  </si>
  <si>
    <t>外装ライト連動(将来スコープ)</t>
  </si>
  <si>
    <r>
      <rPr>
        <sz val="10"/>
        <rFont val="Noto Sans CJK SC"/>
        <family val="2"/>
      </rPr>
      <t>対象外</t>
    </r>
    <r>
      <rPr>
        <sz val="10"/>
        <rFont val="Arial"/>
        <family val="2"/>
      </rPr>
      <t>(</t>
    </r>
    <r>
      <rPr>
        <sz val="10"/>
        <rFont val="Noto Sans CJK SC"/>
        <family val="2"/>
      </rPr>
      <t>将来</t>
    </r>
    <r>
      <rPr>
        <sz val="10"/>
        <rFont val="Arial"/>
        <family val="2"/>
      </rPr>
      <t>)</t>
    </r>
  </si>
  <si>
    <r>
      <rPr>
        <sz val="10"/>
        <rFont val="Noto Sans CJK SC"/>
        <family val="2"/>
      </rPr>
      <t>対象外</t>
    </r>
    <r>
      <rPr>
        <sz val="10"/>
        <rFont val="Arial"/>
        <family val="2"/>
      </rPr>
      <t>:</t>
    </r>
    <r>
      <rPr>
        <sz val="10"/>
        <rFont val="Noto Sans CJK SC"/>
        <family val="2"/>
      </rPr>
      <t>本</t>
    </r>
    <r>
      <rPr>
        <sz val="10"/>
        <rFont val="Arial"/>
        <family val="2"/>
      </rPr>
      <t>PoC</t>
    </r>
    <r>
      <rPr>
        <sz val="10"/>
        <rFont val="Noto Sans CJK SC"/>
        <family val="2"/>
      </rPr>
      <t>では非スコープ。プライバシー配慮の検討事項として保留</t>
    </r>
  </si>
  <si>
    <r>
      <rPr>
        <sz val="10"/>
        <rFont val="Arial"/>
        <family val="2"/>
      </rPr>
      <t>HMI</t>
    </r>
    <r>
      <rPr>
        <sz val="10"/>
        <rFont val="Noto Sans CJK SC"/>
        <family val="2"/>
      </rPr>
      <t>メイン画面表示</t>
    </r>
  </si>
  <si>
    <t>多言語表示</t>
  </si>
  <si>
    <t>診断ログ</t>
  </si>
  <si>
    <t>香り強制休止</t>
  </si>
  <si>
    <t>未割当</t>
  </si>
  <si>
    <r>
      <rPr>
        <sz val="10"/>
        <rFont val="Arial"/>
        <family val="2"/>
      </rPr>
      <t>NG:</t>
    </r>
    <r>
      <rPr>
        <sz val="10"/>
        <rFont val="Noto Sans CJK SC"/>
        <family val="2"/>
      </rPr>
      <t>カウントダウン表示のテストケース未作成</t>
    </r>
    <r>
      <rPr>
        <sz val="10"/>
        <rFont val="Arial"/>
        <family val="2"/>
      </rPr>
      <t>(DEF-2023-018</t>
    </r>
    <r>
      <rPr>
        <sz val="10"/>
        <rFont val="Noto Sans CJK SC"/>
        <family val="2"/>
      </rPr>
      <t>関連</t>
    </r>
    <r>
      <rPr>
        <sz val="10"/>
        <rFont val="Arial"/>
        <family val="2"/>
      </rPr>
      <t>)</t>
    </r>
  </si>
  <si>
    <t>※凡例: OK=要求→信号表/GUI仕様→試験が一貫して追跡可能 / 要確認=信号表とGUI仕様の対応関係に潜在的な差異あり / NG=不整合が確認済み、またはトレースの欠落</t>
  </si>
  <si>
    <r>
      <rPr>
        <sz val="10"/>
        <rFont val="ＭＳ ゴシック"/>
        <family val="3"/>
        <charset val="128"/>
      </rPr>
      <t>ジャンパオートモーティブ株式会社</t>
    </r>
    <r>
      <rPr>
        <sz val="10"/>
        <rFont val="Arial"/>
        <family val="2"/>
      </rPr>
      <t>(</t>
    </r>
    <r>
      <rPr>
        <sz val="10"/>
        <rFont val="ＭＳ ゴシック"/>
        <family val="3"/>
        <charset val="128"/>
      </rPr>
      <t>架空</t>
    </r>
    <r>
      <rPr>
        <sz val="10"/>
        <rFont val="Arial"/>
        <family val="2"/>
      </rPr>
      <t>)</t>
    </r>
    <phoneticPr fontId="16"/>
  </si>
  <si>
    <t>SPEC-COM-001</t>
    <phoneticPr fontId="16"/>
  </si>
  <si>
    <t>共通信号表</t>
    <rPh sb="0" eb="2">
      <t>キョウツウ</t>
    </rPh>
    <rPh sb="2" eb="5">
      <t>シンゴウヒョウ</t>
    </rPh>
    <phoneticPr fontId="16"/>
  </si>
  <si>
    <t>制御</t>
    <phoneticPr fontId="16"/>
  </si>
  <si>
    <t>信号表</t>
    <rPh sb="0" eb="3">
      <t>シンゴウヒョウ</t>
    </rPh>
    <phoneticPr fontId="16"/>
  </si>
  <si>
    <t>シーン制御仕様書</t>
    <phoneticPr fontId="16"/>
  </si>
  <si>
    <t>気分推定ロジック制御仕様書</t>
    <phoneticPr fontId="16"/>
  </si>
  <si>
    <t>アンビエントライト制御仕様書</t>
    <phoneticPr fontId="16"/>
  </si>
  <si>
    <t>香り演出制御仕様書</t>
    <phoneticPr fontId="16"/>
  </si>
  <si>
    <r>
      <t>BGM</t>
    </r>
    <r>
      <rPr>
        <sz val="10"/>
        <rFont val="ＭＳ ゴシック"/>
        <family val="3"/>
        <charset val="128"/>
      </rPr>
      <t>制御制御仕様書</t>
    </r>
    <phoneticPr fontId="16"/>
  </si>
  <si>
    <t>空調連携制御仕様書</t>
    <phoneticPr fontId="16"/>
  </si>
  <si>
    <t>SPEC-CTRL-001</t>
    <phoneticPr fontId="16"/>
  </si>
  <si>
    <t>SPEC-CTRL-002</t>
    <phoneticPr fontId="16"/>
  </si>
  <si>
    <t>SPEC-CTRL-003</t>
    <phoneticPr fontId="16"/>
  </si>
  <si>
    <t>SPEC-CTRL-004</t>
    <phoneticPr fontId="16"/>
  </si>
  <si>
    <t>SPEC-CTRL-005</t>
  </si>
  <si>
    <t>SPEC-CTRL-006</t>
  </si>
  <si>
    <t>SPEC-CTRL-007</t>
  </si>
  <si>
    <r>
      <rPr>
        <i/>
        <sz val="9"/>
        <color rgb="FF6B7280"/>
        <rFont val="ＭＳ ゴシック"/>
        <family val="3"/>
        <charset val="128"/>
      </rPr>
      <t>信号表</t>
    </r>
    <r>
      <rPr>
        <i/>
        <sz val="9"/>
        <color rgb="FF6B7280"/>
        <rFont val="Arial"/>
        <family val="2"/>
      </rPr>
      <t>&amp;</t>
    </r>
    <r>
      <rPr>
        <i/>
        <sz val="9"/>
        <color rgb="FF6B7280"/>
        <rFont val="ＭＳ ゴシック"/>
        <family val="3"/>
        <charset val="128"/>
      </rPr>
      <t>制御仕様</t>
    </r>
    <r>
      <rPr>
        <i/>
        <sz val="9"/>
        <color rgb="FF6B7280"/>
        <rFont val="Arial"/>
        <family val="2"/>
      </rPr>
      <t>(</t>
    </r>
    <r>
      <rPr>
        <i/>
        <sz val="9"/>
        <color rgb="FF6B7280"/>
        <rFont val="ＭＳ ゴシック"/>
        <family val="3"/>
        <charset val="128"/>
      </rPr>
      <t>電装設計担当</t>
    </r>
    <r>
      <rPr>
        <i/>
        <sz val="9"/>
        <color rgb="FF6B7280"/>
        <rFont val="Arial"/>
        <family val="2"/>
      </rPr>
      <t>)</t>
    </r>
    <r>
      <rPr>
        <i/>
        <sz val="9"/>
        <color rgb="FF6B7280"/>
        <rFont val="ＭＳ ゴシック"/>
        <family val="3"/>
        <charset val="128"/>
      </rPr>
      <t>と</t>
    </r>
    <r>
      <rPr>
        <i/>
        <sz val="9"/>
        <color rgb="FF6B7280"/>
        <rFont val="Arial"/>
        <family val="2"/>
      </rPr>
      <t>GUI</t>
    </r>
    <r>
      <rPr>
        <i/>
        <sz val="9"/>
        <color rgb="FF6B7280"/>
        <rFont val="ＭＳ ゴシック"/>
        <family val="3"/>
        <charset val="128"/>
      </rPr>
      <t>仕様</t>
    </r>
    <r>
      <rPr>
        <i/>
        <sz val="9"/>
        <color rgb="FF6B7280"/>
        <rFont val="Arial"/>
        <family val="2"/>
      </rPr>
      <t>(HMI/GUI</t>
    </r>
    <r>
      <rPr>
        <i/>
        <sz val="9"/>
        <color rgb="FF6B7280"/>
        <rFont val="ＭＳ ゴシック"/>
        <family val="3"/>
        <charset val="128"/>
      </rPr>
      <t>デザイン担当</t>
    </r>
    <r>
      <rPr>
        <i/>
        <sz val="9"/>
        <color rgb="FF6B7280"/>
        <rFont val="Arial"/>
        <family val="2"/>
      </rPr>
      <t>)</t>
    </r>
    <r>
      <rPr>
        <i/>
        <sz val="9"/>
        <color rgb="FF6B7280"/>
        <rFont val="ＭＳ ゴシック"/>
        <family val="3"/>
        <charset val="128"/>
      </rPr>
      <t>を分けて管理</t>
    </r>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</si>
</sst>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0%"/>
    <numFmt numFmtId="178" formatCode="0.0"/>
  </numFmts>
  <fonts count="21">
    <font>
      <sz val="11"/>
      <color theme="1"/>
      <name val="Calibri"/>
      <family val="2"/>
      <charset val="1"/>
    </font>
    <font>
      <b/>
      <sz val="14"/>
      <color rgb="FF1B2A4A"/>
      <name val="Noto Sans CJK SC"/>
      <family val="2"/>
      <charset val="1"/>
    </font>
    <font>
      <i/>
      <sz val="9"/>
      <color rgb="FF6B7280"/>
      <name val="Arial"/>
      <family val="2"/>
    </font>
    <font>
      <i/>
      <sz val="9"/>
      <color rgb="FF6B7280"/>
      <name val="Noto Sans CJK SC"/>
      <family val="2"/>
    </font>
    <font>
      <b/>
      <sz val="10"/>
      <name val="Noto Sans CJK SC"/>
      <family val="2"/>
      <charset val="1"/>
    </font>
    <font>
      <i/>
      <sz val="9"/>
      <color rgb="FF6B7280"/>
      <name val="Noto Sans CJK SC"/>
      <family val="2"/>
      <charset val="1"/>
    </font>
    <font>
      <b/>
      <sz val="10"/>
      <color rgb="FFFFFFFF"/>
      <name val="Noto Sans CJK SC"/>
      <family val="2"/>
      <charset val="1"/>
    </font>
    <font>
      <sz val="10"/>
      <name val="Arial"/>
      <family val="2"/>
    </font>
    <font>
      <sz val="10"/>
      <name val="Noto Sans CJK SC"/>
      <family val="2"/>
    </font>
    <font>
      <sz val="10"/>
      <name val="Noto Sans CJK SC"/>
      <family val="2"/>
      <charset val="1"/>
    </font>
    <font>
      <b/>
      <sz val="14"/>
      <color rgb="FF1B2A4A"/>
      <name val="Arial"/>
      <family val="2"/>
    </font>
    <font>
      <b/>
      <sz val="14"/>
      <color rgb="FF1B2A4A"/>
      <name val="Noto Sans CJK SC"/>
      <family val="2"/>
    </font>
    <font>
      <b/>
      <sz val="10"/>
      <color rgb="FFFFFFFF"/>
      <name val="Arial"/>
      <family val="2"/>
    </font>
    <font>
      <b/>
      <sz val="10"/>
      <name val="Arial"/>
      <family val="2"/>
    </font>
    <font>
      <sz val="11"/>
      <color theme="1"/>
      <name val="Noto Sans CJK SC"/>
      <family val="2"/>
    </font>
    <font>
      <b/>
      <sz val="10"/>
      <color rgb="FFFFFFFF"/>
      <name val="Noto Sans CJK SC"/>
      <family val="2"/>
    </font>
    <font>
      <sz val="6"/>
      <name val="ＭＳ Ｐゴシック"/>
      <family val="3"/>
      <charset val="128"/>
    </font>
    <font>
      <sz val="10"/>
      <name val="ＭＳ ゴシック"/>
      <family val="3"/>
      <charset val="128"/>
    </font>
    <font>
      <sz val="10"/>
      <name val="Noto Sans CJK SC"/>
      <family val="3"/>
      <charset val="128"/>
    </font>
    <font>
      <i/>
      <sz val="9"/>
      <color rgb="FF6B7280"/>
      <name val="ＭＳ ゴシック"/>
      <family val="3"/>
      <charset val="128"/>
    </font>
    <font>
      <i/>
      <sz val="9"/>
      <color rgb="FF6B7280"/>
      <name val="Noto Sans CJK SC"/>
      <family val="3"/>
      <charset val="128"/>
    </font>
  </fonts>
  <fills count="8">
    <fill>
      <patternFill patternType="none"/>
    </fill>
    <fill>
      <patternFill patternType="gray125"/>
    </fill>
    <fill>
      <patternFill patternType="solid">
        <fgColor rgb="FF1B2A4A"/>
        <bgColor rgb="FF003366"/>
      </patternFill>
    </fill>
    <fill>
      <patternFill patternType="solid">
        <fgColor rgb="FFFFF2CC"/>
        <bgColor rgb="FFFCE5CD"/>
      </patternFill>
    </fill>
    <fill>
      <patternFill patternType="solid">
        <fgColor rgb="FFD9EAD3"/>
        <bgColor rgb="FFE8EDF5"/>
      </patternFill>
    </fill>
    <fill>
      <patternFill patternType="solid">
        <fgColor rgb="FFFCE5CD"/>
        <bgColor rgb="FFFFF2CC"/>
      </patternFill>
    </fill>
    <fill>
      <patternFill patternType="solid">
        <fgColor rgb="FFF4CCCC"/>
        <bgColor rgb="FFFCE5CD"/>
      </patternFill>
    </fill>
    <fill>
      <patternFill patternType="solid">
        <fgColor rgb="FFE8EDF5"/>
        <bgColor rgb="FFD9EAD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4" fillId="0" borderId="0" xfId="0" applyFont="1"/>
    <xf numFmtId="0" fontId="6" fillId="2" borderId="1" xfId="0" applyFont="1" applyFill="1" applyBorder="1" applyAlignment="1">
      <alignment horizontal="center"/>
    </xf>
    <xf numFmtId="0" fontId="4" fillId="0" borderId="1" xfId="0" applyFont="1" applyBorder="1" applyAlignment="1">
      <alignment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9" fillId="0" borderId="0" xfId="0" applyFont="1"/>
    <xf numFmtId="0" fontId="9" fillId="0" borderId="0" xfId="0" applyFont="1" applyAlignment="1">
      <alignment wrapText="1"/>
    </xf>
    <xf numFmtId="0" fontId="6" fillId="2" borderId="1" xfId="0" applyFont="1" applyFill="1" applyBorder="1" applyAlignment="1">
      <alignment horizontal="center" vertical="center" wrapText="1"/>
    </xf>
    <xf numFmtId="0" fontId="7" fillId="0" borderId="1"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7" fillId="0" borderId="1" xfId="0" applyFont="1" applyBorder="1" applyAlignment="1">
      <alignment horizontal="left" vertical="center" wrapText="1"/>
    </xf>
    <xf numFmtId="0" fontId="5" fillId="0" borderId="0" xfId="0" applyFont="1"/>
    <xf numFmtId="0" fontId="10" fillId="0" borderId="0" xfId="0" applyFont="1"/>
    <xf numFmtId="0" fontId="12" fillId="2" borderId="1" xfId="0" applyFont="1" applyFill="1" applyBorder="1" applyAlignment="1">
      <alignment horizontal="center" vertical="center" wrapText="1"/>
    </xf>
    <xf numFmtId="0" fontId="7" fillId="0" borderId="1" xfId="0" applyFont="1" applyBorder="1" applyAlignment="1">
      <alignment vertical="center"/>
    </xf>
    <xf numFmtId="0" fontId="9" fillId="0" borderId="1" xfId="0" applyFont="1" applyBorder="1" applyAlignment="1">
      <alignment vertical="center"/>
    </xf>
    <xf numFmtId="176" fontId="7" fillId="0" borderId="1" xfId="0" applyNumberFormat="1" applyFont="1" applyBorder="1" applyAlignment="1">
      <alignment vertical="center"/>
    </xf>
    <xf numFmtId="9" fontId="7" fillId="0" borderId="1" xfId="0" applyNumberFormat="1" applyFont="1" applyBorder="1" applyAlignment="1">
      <alignment vertical="center"/>
    </xf>
    <xf numFmtId="177" fontId="13" fillId="0" borderId="0" xfId="0" applyNumberFormat="1" applyFont="1"/>
    <xf numFmtId="177" fontId="7" fillId="0" borderId="1" xfId="0" applyNumberFormat="1" applyFont="1" applyBorder="1" applyAlignment="1">
      <alignment vertical="center"/>
    </xf>
    <xf numFmtId="178" fontId="7" fillId="0" borderId="1" xfId="0" applyNumberFormat="1" applyFont="1" applyBorder="1" applyAlignment="1">
      <alignment vertical="center"/>
    </xf>
    <xf numFmtId="0" fontId="9" fillId="3" borderId="1" xfId="0" applyFont="1" applyFill="1" applyBorder="1" applyAlignment="1">
      <alignment horizontal="left" vertical="center"/>
    </xf>
    <xf numFmtId="0" fontId="9" fillId="4" borderId="1" xfId="0" applyFont="1" applyFill="1" applyBorder="1" applyAlignment="1">
      <alignment horizontal="left" vertical="center"/>
    </xf>
    <xf numFmtId="0" fontId="9" fillId="5" borderId="1" xfId="0" applyFont="1" applyFill="1" applyBorder="1" applyAlignment="1">
      <alignment horizontal="left" vertical="center"/>
    </xf>
    <xf numFmtId="0" fontId="7" fillId="4"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8" fillId="0" borderId="1" xfId="0" applyFont="1" applyBorder="1" applyAlignment="1">
      <alignment horizontal="left" vertical="center"/>
    </xf>
    <xf numFmtId="0" fontId="8" fillId="7" borderId="1" xfId="0" applyFont="1" applyFill="1" applyBorder="1" applyAlignment="1">
      <alignment horizontal="left" vertical="center" wrapText="1"/>
    </xf>
    <xf numFmtId="0" fontId="18" fillId="0" borderId="1" xfId="0" applyFont="1" applyBorder="1" applyAlignment="1">
      <alignment vertical="center" wrapText="1"/>
    </xf>
    <xf numFmtId="0" fontId="5" fillId="0" borderId="0" xfId="0" applyFont="1" applyAlignment="1">
      <alignment wrapText="1"/>
    </xf>
    <xf numFmtId="0" fontId="0" fillId="0" borderId="0" xfId="0" applyAlignment="1">
      <alignment wrapText="1"/>
    </xf>
    <xf numFmtId="0" fontId="17" fillId="0" borderId="1" xfId="0" applyFont="1" applyBorder="1" applyAlignment="1">
      <alignment horizontal="left" vertical="center"/>
    </xf>
    <xf numFmtId="14" fontId="7" fillId="0" borderId="1" xfId="0" applyNumberFormat="1" applyFont="1" applyBorder="1" applyAlignment="1">
      <alignment horizontal="left" vertical="center"/>
    </xf>
    <xf numFmtId="0" fontId="20" fillId="0" borderId="0" xfId="0" applyFont="1"/>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E8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2" zoomScaleNormal="100" workbookViewId="0">
      <selection activeCell="A14" sqref="A14:XFD14"/>
    </sheetView>
  </sheetViews>
  <sheetFormatPr defaultColWidth="8.6328125" defaultRowHeight="14.5"/>
  <cols>
    <col min="1" max="1" width="22" customWidth="1"/>
    <col min="2" max="2" width="85" customWidth="1"/>
  </cols>
  <sheetData>
    <row r="1" spans="1:6" ht="17.25" customHeight="1">
      <c r="A1" s="1" t="s">
        <v>0</v>
      </c>
    </row>
    <row r="2" spans="1:6" ht="15" customHeight="1">
      <c r="A2" s="2" t="s">
        <v>1</v>
      </c>
    </row>
    <row r="4" spans="1:6" ht="15" customHeight="1">
      <c r="A4" s="3" t="s">
        <v>2</v>
      </c>
    </row>
    <row r="5" spans="1:6" ht="39.75" customHeight="1">
      <c r="A5" s="34" t="s">
        <v>3</v>
      </c>
      <c r="B5" s="34"/>
      <c r="C5" s="34"/>
      <c r="D5" s="34"/>
      <c r="E5" s="34"/>
      <c r="F5" s="34"/>
    </row>
    <row r="7" spans="1:6" ht="15" customHeight="1">
      <c r="A7" s="4" t="s">
        <v>4</v>
      </c>
      <c r="B7" s="4" t="s">
        <v>5</v>
      </c>
    </row>
    <row r="8" spans="1:6" ht="30" customHeight="1">
      <c r="A8" s="5" t="s">
        <v>6</v>
      </c>
      <c r="B8" s="6" t="s">
        <v>7</v>
      </c>
    </row>
    <row r="9" spans="1:6" ht="30" customHeight="1">
      <c r="A9" s="5" t="s">
        <v>8</v>
      </c>
      <c r="B9" s="33" t="s">
        <v>410</v>
      </c>
    </row>
    <row r="10" spans="1:6" ht="30" customHeight="1">
      <c r="A10" s="5" t="s">
        <v>9</v>
      </c>
      <c r="B10" s="7" t="s">
        <v>10</v>
      </c>
    </row>
    <row r="11" spans="1:6" ht="30" customHeight="1">
      <c r="A11" s="5" t="s">
        <v>11</v>
      </c>
      <c r="B11" s="6" t="s">
        <v>12</v>
      </c>
    </row>
    <row r="12" spans="1:6" ht="30" customHeight="1">
      <c r="A12" s="5" t="s">
        <v>13</v>
      </c>
      <c r="B12" s="7" t="s">
        <v>14</v>
      </c>
    </row>
    <row r="13" spans="1:6" ht="30" customHeight="1">
      <c r="A13" s="5" t="s">
        <v>15</v>
      </c>
      <c r="B13" s="6" t="s">
        <v>16</v>
      </c>
    </row>
    <row r="14" spans="1:6" ht="70.5" customHeight="1">
      <c r="A14" s="5" t="s">
        <v>17</v>
      </c>
      <c r="B14" s="7" t="s">
        <v>18</v>
      </c>
    </row>
    <row r="15" spans="1:6" ht="30" customHeight="1">
      <c r="A15" s="5" t="s">
        <v>19</v>
      </c>
      <c r="B15" s="6" t="s">
        <v>20</v>
      </c>
    </row>
    <row r="16" spans="1:6" ht="30" customHeight="1">
      <c r="A16" s="5" t="s">
        <v>21</v>
      </c>
      <c r="B16" s="7" t="s">
        <v>22</v>
      </c>
    </row>
    <row r="17" spans="1:2" ht="30" customHeight="1">
      <c r="A17" s="5" t="s">
        <v>23</v>
      </c>
      <c r="B17" s="7" t="s">
        <v>24</v>
      </c>
    </row>
    <row r="19" spans="1:2" ht="15" customHeight="1">
      <c r="A19" s="3" t="s">
        <v>25</v>
      </c>
    </row>
    <row r="20" spans="1:2" ht="15" customHeight="1">
      <c r="A20" s="8" t="s">
        <v>26</v>
      </c>
      <c r="B20" s="9" t="s">
        <v>27</v>
      </c>
    </row>
    <row r="21" spans="1:2" ht="29.25" customHeight="1">
      <c r="A21" s="8" t="s">
        <v>28</v>
      </c>
      <c r="B21" s="9" t="s">
        <v>29</v>
      </c>
    </row>
    <row r="22" spans="1:2" ht="15" customHeight="1">
      <c r="A22" s="8" t="s">
        <v>30</v>
      </c>
      <c r="B22" s="9" t="s">
        <v>31</v>
      </c>
    </row>
    <row r="23" spans="1:2" ht="15" customHeight="1">
      <c r="A23" s="8" t="s">
        <v>32</v>
      </c>
      <c r="B23" s="9" t="s">
        <v>33</v>
      </c>
    </row>
    <row r="24" spans="1:2" ht="15" customHeight="1">
      <c r="A24" s="8" t="s">
        <v>34</v>
      </c>
      <c r="B24" s="9" t="s">
        <v>35</v>
      </c>
    </row>
    <row r="25" spans="1:2" ht="15" customHeight="1">
      <c r="A25" s="8" t="s">
        <v>36</v>
      </c>
      <c r="B25" s="9" t="s">
        <v>37</v>
      </c>
    </row>
    <row r="26" spans="1:2" ht="15" customHeight="1">
      <c r="A26" s="8" t="s">
        <v>38</v>
      </c>
      <c r="B26" s="9" t="s">
        <v>39</v>
      </c>
    </row>
    <row r="27" spans="1:2" ht="15" customHeight="1">
      <c r="A27" s="8" t="s">
        <v>40</v>
      </c>
      <c r="B27" s="9" t="s">
        <v>41</v>
      </c>
    </row>
  </sheetData>
  <mergeCells count="1">
    <mergeCell ref="A5:F5"/>
  </mergeCells>
  <phoneticPr fontId="16"/>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zoomScale="115" zoomScaleNormal="115" workbookViewId="0">
      <pane ySplit="4" topLeftCell="A5" activePane="bottomLeft" state="frozen"/>
      <selection pane="bottomLeft" activeCell="C8" sqref="C8"/>
    </sheetView>
  </sheetViews>
  <sheetFormatPr defaultColWidth="8.6328125" defaultRowHeight="14.5"/>
  <cols>
    <col min="1" max="1" width="10" customWidth="1"/>
    <col min="2" max="2" width="16" customWidth="1"/>
    <col min="3" max="3" width="50" customWidth="1"/>
    <col min="4" max="4" width="12.81640625" customWidth="1"/>
    <col min="5" max="6" width="12" customWidth="1"/>
    <col min="7" max="7" width="14" customWidth="1"/>
    <col min="8" max="8" width="22" customWidth="1"/>
  </cols>
  <sheetData>
    <row r="1" spans="1:8" ht="17.25" customHeight="1">
      <c r="A1" s="1" t="s">
        <v>42</v>
      </c>
    </row>
    <row r="2" spans="1:8" ht="15" customHeight="1">
      <c r="A2" s="2" t="s">
        <v>43</v>
      </c>
    </row>
    <row r="4" spans="1:8" ht="15" customHeight="1">
      <c r="A4" s="10" t="s">
        <v>44</v>
      </c>
      <c r="B4" s="10" t="s">
        <v>45</v>
      </c>
      <c r="C4" s="10" t="s">
        <v>46</v>
      </c>
      <c r="D4" s="10" t="s">
        <v>47</v>
      </c>
      <c r="E4" s="10" t="s">
        <v>48</v>
      </c>
      <c r="F4" s="10" t="s">
        <v>49</v>
      </c>
      <c r="G4" s="10" t="s">
        <v>50</v>
      </c>
      <c r="H4" s="10" t="s">
        <v>51</v>
      </c>
    </row>
    <row r="5" spans="1:8" ht="29.25" customHeight="1">
      <c r="A5" s="11" t="s">
        <v>52</v>
      </c>
      <c r="B5" s="12" t="s">
        <v>53</v>
      </c>
      <c r="C5" s="13" t="s">
        <v>54</v>
      </c>
      <c r="D5" s="12" t="s">
        <v>55</v>
      </c>
      <c r="E5" s="12" t="s">
        <v>56</v>
      </c>
      <c r="F5" s="11" t="s">
        <v>57</v>
      </c>
      <c r="G5" s="11" t="s">
        <v>58</v>
      </c>
      <c r="H5" s="13"/>
    </row>
    <row r="6" spans="1:8" ht="15" customHeight="1">
      <c r="A6" s="11" t="s">
        <v>59</v>
      </c>
      <c r="B6" s="12" t="s">
        <v>53</v>
      </c>
      <c r="C6" s="13" t="s">
        <v>60</v>
      </c>
      <c r="D6" s="12" t="s">
        <v>61</v>
      </c>
      <c r="E6" s="12" t="s">
        <v>56</v>
      </c>
      <c r="F6" s="11" t="s">
        <v>57</v>
      </c>
      <c r="G6" s="11" t="s">
        <v>58</v>
      </c>
      <c r="H6" s="13"/>
    </row>
    <row r="7" spans="1:8" ht="29.25" customHeight="1">
      <c r="A7" s="11" t="s">
        <v>62</v>
      </c>
      <c r="B7" s="12" t="s">
        <v>63</v>
      </c>
      <c r="C7" s="13" t="s">
        <v>64</v>
      </c>
      <c r="D7" s="12" t="s">
        <v>55</v>
      </c>
      <c r="E7" s="12" t="s">
        <v>65</v>
      </c>
      <c r="F7" s="11" t="s">
        <v>66</v>
      </c>
      <c r="G7" s="11" t="s">
        <v>67</v>
      </c>
      <c r="H7" s="13"/>
    </row>
    <row r="8" spans="1:8" ht="29.25" customHeight="1">
      <c r="A8" s="11" t="s">
        <v>68</v>
      </c>
      <c r="B8" s="12" t="s">
        <v>63</v>
      </c>
      <c r="C8" s="13" t="s">
        <v>69</v>
      </c>
      <c r="D8" s="12" t="s">
        <v>55</v>
      </c>
      <c r="E8" s="12" t="s">
        <v>65</v>
      </c>
      <c r="F8" s="11" t="s">
        <v>66</v>
      </c>
      <c r="G8" s="11" t="s">
        <v>70</v>
      </c>
      <c r="H8" s="13"/>
    </row>
    <row r="9" spans="1:8" ht="15" customHeight="1">
      <c r="A9" s="11" t="s">
        <v>71</v>
      </c>
      <c r="B9" s="12" t="s">
        <v>72</v>
      </c>
      <c r="C9" s="13" t="s">
        <v>73</v>
      </c>
      <c r="D9" s="12" t="s">
        <v>55</v>
      </c>
      <c r="E9" s="12" t="s">
        <v>56</v>
      </c>
      <c r="F9" s="11" t="s">
        <v>74</v>
      </c>
      <c r="G9" s="11" t="s">
        <v>75</v>
      </c>
      <c r="H9" s="13"/>
    </row>
    <row r="10" spans="1:8" ht="29.25" customHeight="1">
      <c r="A10" s="11" t="s">
        <v>76</v>
      </c>
      <c r="B10" s="12" t="s">
        <v>72</v>
      </c>
      <c r="C10" s="13" t="s">
        <v>77</v>
      </c>
      <c r="D10" s="12" t="s">
        <v>55</v>
      </c>
      <c r="E10" s="11" t="s">
        <v>78</v>
      </c>
      <c r="F10" s="11" t="s">
        <v>74</v>
      </c>
      <c r="G10" s="11" t="s">
        <v>79</v>
      </c>
      <c r="H10" s="13"/>
    </row>
    <row r="11" spans="1:8" ht="29.25" customHeight="1">
      <c r="A11" s="11" t="s">
        <v>80</v>
      </c>
      <c r="B11" s="12" t="s">
        <v>81</v>
      </c>
      <c r="C11" s="13" t="s">
        <v>82</v>
      </c>
      <c r="D11" s="12" t="s">
        <v>55</v>
      </c>
      <c r="E11" s="12" t="s">
        <v>56</v>
      </c>
      <c r="F11" s="11" t="s">
        <v>83</v>
      </c>
      <c r="G11" s="11" t="s">
        <v>84</v>
      </c>
      <c r="H11" s="13"/>
    </row>
    <row r="12" spans="1:8" ht="29.25" customHeight="1">
      <c r="A12" s="11" t="s">
        <v>85</v>
      </c>
      <c r="B12" s="12" t="s">
        <v>81</v>
      </c>
      <c r="C12" s="13" t="s">
        <v>86</v>
      </c>
      <c r="D12" s="12" t="s">
        <v>55</v>
      </c>
      <c r="E12" s="11" t="s">
        <v>78</v>
      </c>
      <c r="F12" s="11" t="s">
        <v>83</v>
      </c>
      <c r="G12" s="11" t="s">
        <v>87</v>
      </c>
      <c r="H12" s="13"/>
    </row>
    <row r="13" spans="1:8" ht="29.25" customHeight="1">
      <c r="A13" s="11" t="s">
        <v>88</v>
      </c>
      <c r="B13" s="12" t="s">
        <v>81</v>
      </c>
      <c r="C13" s="13" t="s">
        <v>89</v>
      </c>
      <c r="D13" s="12" t="s">
        <v>55</v>
      </c>
      <c r="E13" s="12" t="s">
        <v>90</v>
      </c>
      <c r="F13" s="11" t="s">
        <v>91</v>
      </c>
      <c r="G13" s="11" t="s">
        <v>84</v>
      </c>
      <c r="H13" s="13" t="s">
        <v>92</v>
      </c>
    </row>
    <row r="14" spans="1:8" ht="15" customHeight="1">
      <c r="A14" s="11" t="s">
        <v>93</v>
      </c>
      <c r="B14" s="11" t="s">
        <v>94</v>
      </c>
      <c r="C14" s="13" t="s">
        <v>95</v>
      </c>
      <c r="D14" s="12" t="s">
        <v>61</v>
      </c>
      <c r="E14" s="12" t="s">
        <v>65</v>
      </c>
      <c r="F14" s="11" t="s">
        <v>96</v>
      </c>
      <c r="G14" s="11" t="s">
        <v>97</v>
      </c>
      <c r="H14" s="13"/>
    </row>
    <row r="15" spans="1:8" ht="29.25" customHeight="1">
      <c r="A15" s="11" t="s">
        <v>98</v>
      </c>
      <c r="B15" s="12" t="s">
        <v>99</v>
      </c>
      <c r="C15" s="13" t="s">
        <v>100</v>
      </c>
      <c r="D15" s="12" t="s">
        <v>61</v>
      </c>
      <c r="E15" s="12" t="s">
        <v>56</v>
      </c>
      <c r="F15" s="11" t="s">
        <v>101</v>
      </c>
      <c r="G15" s="11" t="s">
        <v>102</v>
      </c>
      <c r="H15" s="13"/>
    </row>
    <row r="16" spans="1:8" ht="29.25" customHeight="1">
      <c r="A16" s="11" t="s">
        <v>103</v>
      </c>
      <c r="B16" s="12" t="s">
        <v>104</v>
      </c>
      <c r="C16" s="13" t="s">
        <v>105</v>
      </c>
      <c r="D16" s="12" t="s">
        <v>106</v>
      </c>
      <c r="E16" s="12" t="s">
        <v>65</v>
      </c>
      <c r="F16" s="11" t="s">
        <v>107</v>
      </c>
      <c r="G16" s="11" t="s">
        <v>75</v>
      </c>
      <c r="H16" s="13" t="s">
        <v>108</v>
      </c>
    </row>
    <row r="17" spans="1:8" ht="29.25" customHeight="1">
      <c r="A17" s="11" t="s">
        <v>109</v>
      </c>
      <c r="B17" s="11" t="s">
        <v>110</v>
      </c>
      <c r="C17" s="13" t="s">
        <v>111</v>
      </c>
      <c r="D17" s="12" t="s">
        <v>55</v>
      </c>
      <c r="E17" s="11" t="s">
        <v>78</v>
      </c>
      <c r="F17" s="11" t="s">
        <v>112</v>
      </c>
      <c r="G17" s="11" t="s">
        <v>70</v>
      </c>
      <c r="H17" s="13"/>
    </row>
    <row r="18" spans="1:8" ht="29.25" customHeight="1">
      <c r="A18" s="11" t="s">
        <v>113</v>
      </c>
      <c r="B18" s="11" t="s">
        <v>110</v>
      </c>
      <c r="C18" s="13" t="s">
        <v>114</v>
      </c>
      <c r="D18" s="12" t="s">
        <v>61</v>
      </c>
      <c r="E18" s="12" t="s">
        <v>115</v>
      </c>
      <c r="F18" s="11" t="s">
        <v>112</v>
      </c>
      <c r="G18" s="11" t="s">
        <v>116</v>
      </c>
      <c r="H18" s="13"/>
    </row>
    <row r="19" spans="1:8" ht="29.25" customHeight="1">
      <c r="A19" s="11" t="s">
        <v>117</v>
      </c>
      <c r="B19" s="12" t="s">
        <v>118</v>
      </c>
      <c r="C19" s="13" t="s">
        <v>119</v>
      </c>
      <c r="D19" s="12" t="s">
        <v>55</v>
      </c>
      <c r="E19" s="12" t="s">
        <v>56</v>
      </c>
      <c r="F19" s="11" t="s">
        <v>120</v>
      </c>
      <c r="G19" s="11" t="s">
        <v>121</v>
      </c>
      <c r="H19" s="13"/>
    </row>
    <row r="20" spans="1:8" ht="29.25" customHeight="1">
      <c r="A20" s="11" t="s">
        <v>122</v>
      </c>
      <c r="B20" s="12" t="s">
        <v>123</v>
      </c>
      <c r="C20" s="13" t="s">
        <v>124</v>
      </c>
      <c r="D20" s="12" t="s">
        <v>55</v>
      </c>
      <c r="E20" s="12" t="s">
        <v>90</v>
      </c>
      <c r="F20" s="11" t="s">
        <v>120</v>
      </c>
      <c r="G20" s="11" t="s">
        <v>84</v>
      </c>
      <c r="H20" s="13" t="s">
        <v>92</v>
      </c>
    </row>
    <row r="21" spans="1:8" ht="29.25" customHeight="1">
      <c r="A21" s="11" t="s">
        <v>125</v>
      </c>
      <c r="B21" s="12" t="s">
        <v>126</v>
      </c>
      <c r="C21" s="14" t="s">
        <v>127</v>
      </c>
      <c r="D21" s="12" t="s">
        <v>61</v>
      </c>
      <c r="E21" s="11" t="s">
        <v>78</v>
      </c>
      <c r="F21" s="11" t="s">
        <v>128</v>
      </c>
      <c r="G21" s="11" t="s">
        <v>129</v>
      </c>
      <c r="H21" s="14"/>
    </row>
  </sheetData>
  <phoneticPr fontId="16"/>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tabSelected="1" zoomScale="130" zoomScaleNormal="130" workbookViewId="0">
      <pane ySplit="4" topLeftCell="A5" activePane="bottomLeft" state="frozen"/>
      <selection pane="bottomLeft" activeCell="B3" sqref="B3"/>
    </sheetView>
  </sheetViews>
  <sheetFormatPr defaultColWidth="8.6328125" defaultRowHeight="14.5"/>
  <cols>
    <col min="1" max="1" width="15" customWidth="1"/>
    <col min="2" max="2" width="34.81640625" customWidth="1"/>
    <col min="3" max="3" width="11" customWidth="1"/>
    <col min="4" max="4" width="9" customWidth="1"/>
    <col min="5" max="5" width="18" customWidth="1"/>
    <col min="6" max="6" width="13" customWidth="1"/>
    <col min="7" max="7" width="16" customWidth="1"/>
    <col min="8" max="8" width="40" customWidth="1"/>
  </cols>
  <sheetData>
    <row r="1" spans="1:8" ht="17.25" customHeight="1">
      <c r="A1" s="1" t="s">
        <v>130</v>
      </c>
    </row>
    <row r="2" spans="1:8" ht="15" customHeight="1">
      <c r="A2" s="38" t="s">
        <v>428</v>
      </c>
    </row>
    <row r="4" spans="1:8" ht="15" customHeight="1">
      <c r="A4" s="10" t="s">
        <v>131</v>
      </c>
      <c r="B4" s="10" t="s">
        <v>132</v>
      </c>
      <c r="C4" s="10" t="s">
        <v>133</v>
      </c>
      <c r="D4" s="10" t="s">
        <v>134</v>
      </c>
      <c r="E4" s="10" t="s">
        <v>135</v>
      </c>
      <c r="F4" s="10" t="s">
        <v>136</v>
      </c>
      <c r="G4" s="10" t="s">
        <v>137</v>
      </c>
      <c r="H4" s="10" t="s">
        <v>51</v>
      </c>
    </row>
    <row r="5" spans="1:8" ht="15" customHeight="1">
      <c r="A5" s="11" t="s">
        <v>411</v>
      </c>
      <c r="B5" s="36" t="s">
        <v>412</v>
      </c>
      <c r="C5" s="36" t="s">
        <v>414</v>
      </c>
      <c r="D5" s="11" t="s">
        <v>138</v>
      </c>
      <c r="E5" s="12" t="s">
        <v>139</v>
      </c>
      <c r="F5" s="37">
        <v>45509</v>
      </c>
      <c r="G5" s="11"/>
      <c r="H5" s="14"/>
    </row>
    <row r="6" spans="1:8" ht="15" customHeight="1">
      <c r="A6" s="11" t="s">
        <v>421</v>
      </c>
      <c r="B6" s="36" t="s">
        <v>416</v>
      </c>
      <c r="C6" s="36" t="s">
        <v>413</v>
      </c>
      <c r="D6" s="11" t="s">
        <v>138</v>
      </c>
      <c r="E6" s="12" t="s">
        <v>139</v>
      </c>
      <c r="F6" s="11" t="s">
        <v>140</v>
      </c>
      <c r="G6" s="11" t="s">
        <v>141</v>
      </c>
      <c r="H6" s="14"/>
    </row>
    <row r="7" spans="1:8" ht="15" customHeight="1">
      <c r="A7" s="11" t="s">
        <v>422</v>
      </c>
      <c r="B7" s="36" t="s">
        <v>415</v>
      </c>
      <c r="C7" s="36" t="s">
        <v>413</v>
      </c>
      <c r="D7" s="11" t="s">
        <v>142</v>
      </c>
      <c r="E7" s="12" t="s">
        <v>139</v>
      </c>
      <c r="F7" s="11" t="s">
        <v>143</v>
      </c>
      <c r="G7" s="11" t="s">
        <v>62</v>
      </c>
      <c r="H7" s="14"/>
    </row>
    <row r="8" spans="1:8" ht="29.25" customHeight="1">
      <c r="A8" s="11" t="s">
        <v>423</v>
      </c>
      <c r="B8" s="36" t="s">
        <v>417</v>
      </c>
      <c r="C8" s="36" t="s">
        <v>413</v>
      </c>
      <c r="D8" s="11" t="s">
        <v>144</v>
      </c>
      <c r="E8" s="12" t="s">
        <v>139</v>
      </c>
      <c r="F8" s="11" t="s">
        <v>145</v>
      </c>
      <c r="G8" s="11" t="s">
        <v>146</v>
      </c>
      <c r="H8" s="14" t="s">
        <v>147</v>
      </c>
    </row>
    <row r="9" spans="1:8" ht="15" customHeight="1">
      <c r="A9" s="11" t="s">
        <v>424</v>
      </c>
      <c r="B9" s="36" t="s">
        <v>418</v>
      </c>
      <c r="C9" s="36" t="s">
        <v>413</v>
      </c>
      <c r="D9" s="11" t="s">
        <v>148</v>
      </c>
      <c r="E9" s="12" t="s">
        <v>139</v>
      </c>
      <c r="F9" s="11" t="s">
        <v>149</v>
      </c>
      <c r="G9" s="11" t="s">
        <v>150</v>
      </c>
      <c r="H9" s="14"/>
    </row>
    <row r="10" spans="1:8" ht="15" customHeight="1">
      <c r="A10" s="11" t="s">
        <v>425</v>
      </c>
      <c r="B10" s="11" t="s">
        <v>419</v>
      </c>
      <c r="C10" s="36" t="s">
        <v>413</v>
      </c>
      <c r="D10" s="11" t="s">
        <v>151</v>
      </c>
      <c r="E10" s="12" t="s">
        <v>139</v>
      </c>
      <c r="F10" s="11" t="s">
        <v>152</v>
      </c>
      <c r="G10" s="11" t="s">
        <v>93</v>
      </c>
      <c r="H10" s="14"/>
    </row>
    <row r="11" spans="1:8" ht="15" customHeight="1">
      <c r="A11" s="11" t="s">
        <v>426</v>
      </c>
      <c r="B11" s="36" t="s">
        <v>420</v>
      </c>
      <c r="C11" s="36" t="s">
        <v>413</v>
      </c>
      <c r="D11" s="11" t="s">
        <v>151</v>
      </c>
      <c r="E11" s="12" t="s">
        <v>139</v>
      </c>
      <c r="F11" s="11" t="s">
        <v>153</v>
      </c>
      <c r="G11" s="11" t="s">
        <v>98</v>
      </c>
      <c r="H11" s="14"/>
    </row>
    <row r="12" spans="1:8" ht="15" customHeight="1">
      <c r="A12" s="11" t="s">
        <v>427</v>
      </c>
      <c r="B12" s="12" t="s">
        <v>154</v>
      </c>
      <c r="C12" s="36" t="s">
        <v>413</v>
      </c>
      <c r="D12" s="11" t="s">
        <v>151</v>
      </c>
      <c r="E12" s="12" t="s">
        <v>139</v>
      </c>
      <c r="F12" s="11" t="s">
        <v>155</v>
      </c>
      <c r="G12" s="11" t="s">
        <v>117</v>
      </c>
      <c r="H12" s="14"/>
    </row>
    <row r="13" spans="1:8" ht="15" customHeight="1">
      <c r="A13" s="11" t="s">
        <v>70</v>
      </c>
      <c r="B13" s="12" t="s">
        <v>156</v>
      </c>
      <c r="C13" s="11" t="s">
        <v>157</v>
      </c>
      <c r="D13" s="11" t="s">
        <v>158</v>
      </c>
      <c r="E13" s="11" t="s">
        <v>159</v>
      </c>
      <c r="F13" s="11" t="s">
        <v>160</v>
      </c>
      <c r="G13" s="11" t="s">
        <v>161</v>
      </c>
      <c r="H13" s="14"/>
    </row>
    <row r="14" spans="1:8" ht="29.25" customHeight="1">
      <c r="A14" s="11" t="s">
        <v>79</v>
      </c>
      <c r="B14" s="12" t="s">
        <v>162</v>
      </c>
      <c r="C14" s="11" t="s">
        <v>157</v>
      </c>
      <c r="D14" s="11" t="s">
        <v>142</v>
      </c>
      <c r="E14" s="11" t="s">
        <v>159</v>
      </c>
      <c r="F14" s="11" t="s">
        <v>163</v>
      </c>
      <c r="G14" s="11" t="s">
        <v>76</v>
      </c>
      <c r="H14" s="14" t="s">
        <v>164</v>
      </c>
    </row>
    <row r="15" spans="1:8" ht="15" customHeight="1">
      <c r="A15" s="11" t="s">
        <v>87</v>
      </c>
      <c r="B15" s="12" t="s">
        <v>165</v>
      </c>
      <c r="C15" s="11" t="s">
        <v>157</v>
      </c>
      <c r="D15" s="11" t="s">
        <v>138</v>
      </c>
      <c r="E15" s="11" t="s">
        <v>159</v>
      </c>
      <c r="F15" s="11" t="s">
        <v>166</v>
      </c>
      <c r="G15" s="11" t="s">
        <v>85</v>
      </c>
      <c r="H15" s="14"/>
    </row>
    <row r="16" spans="1:8" ht="15" customHeight="1">
      <c r="A16" s="11" t="s">
        <v>116</v>
      </c>
      <c r="B16" s="12" t="s">
        <v>167</v>
      </c>
      <c r="C16" s="11" t="s">
        <v>157</v>
      </c>
      <c r="D16" s="11" t="s">
        <v>151</v>
      </c>
      <c r="E16" s="11" t="s">
        <v>159</v>
      </c>
      <c r="F16" s="11" t="s">
        <v>168</v>
      </c>
      <c r="G16" s="11" t="s">
        <v>113</v>
      </c>
      <c r="H16" s="14"/>
    </row>
    <row r="17" spans="1:8" ht="15" customHeight="1">
      <c r="A17" s="11" t="s">
        <v>129</v>
      </c>
      <c r="B17" s="12" t="s">
        <v>169</v>
      </c>
      <c r="C17" s="11" t="s">
        <v>157</v>
      </c>
      <c r="D17" s="11" t="s">
        <v>151</v>
      </c>
      <c r="E17" s="11" t="s">
        <v>159</v>
      </c>
      <c r="F17" s="11" t="s">
        <v>140</v>
      </c>
      <c r="G17" s="11" t="s">
        <v>125</v>
      </c>
      <c r="H17" s="14"/>
    </row>
  </sheetData>
  <phoneticPr fontId="16"/>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4"/>
  <sheetViews>
    <sheetView zoomScaleNormal="100" workbookViewId="0">
      <pane ySplit="4" topLeftCell="A5" activePane="bottomLeft" state="frozen"/>
      <selection pane="bottomLeft" activeCell="E26" sqref="E26"/>
    </sheetView>
  </sheetViews>
  <sheetFormatPr defaultColWidth="8.6328125" defaultRowHeight="14.5"/>
  <cols>
    <col min="1" max="1" width="5" customWidth="1"/>
    <col min="2" max="2" width="14" customWidth="1"/>
    <col min="3" max="3" width="34" customWidth="1"/>
    <col min="4" max="4" width="15" customWidth="1"/>
    <col min="5" max="6" width="12" customWidth="1"/>
    <col min="7" max="7" width="10" customWidth="1"/>
    <col min="8" max="8" width="9" customWidth="1"/>
    <col min="9" max="9" width="10" customWidth="1"/>
  </cols>
  <sheetData>
    <row r="1" spans="1:9" ht="21" customHeight="1">
      <c r="A1" s="16" t="s">
        <v>170</v>
      </c>
    </row>
    <row r="2" spans="1:9" ht="15" customHeight="1">
      <c r="A2" s="15" t="s">
        <v>171</v>
      </c>
    </row>
    <row r="4" spans="1:9" ht="15" customHeight="1">
      <c r="A4" s="17" t="s">
        <v>172</v>
      </c>
      <c r="B4" s="10" t="s">
        <v>173</v>
      </c>
      <c r="C4" s="10" t="s">
        <v>174</v>
      </c>
      <c r="D4" s="10" t="s">
        <v>175</v>
      </c>
      <c r="E4" s="10" t="s">
        <v>176</v>
      </c>
      <c r="F4" s="10" t="s">
        <v>177</v>
      </c>
      <c r="G4" s="10" t="s">
        <v>178</v>
      </c>
      <c r="H4" s="10" t="s">
        <v>179</v>
      </c>
      <c r="I4" s="10" t="s">
        <v>180</v>
      </c>
    </row>
    <row r="5" spans="1:9" ht="15" customHeight="1">
      <c r="A5" s="18">
        <v>1</v>
      </c>
      <c r="B5" s="19" t="s">
        <v>181</v>
      </c>
      <c r="C5" s="7" t="s">
        <v>182</v>
      </c>
      <c r="D5" s="19" t="s">
        <v>65</v>
      </c>
      <c r="E5" s="20" t="s">
        <v>183</v>
      </c>
      <c r="F5" s="20" t="s">
        <v>184</v>
      </c>
      <c r="G5" s="18">
        <f t="shared" ref="G5:G22" si="0">F5-E5+1</f>
        <v>39</v>
      </c>
      <c r="H5" s="21">
        <v>1</v>
      </c>
      <c r="I5" s="19" t="s">
        <v>185</v>
      </c>
    </row>
    <row r="6" spans="1:9" ht="15" customHeight="1">
      <c r="A6" s="18">
        <v>2</v>
      </c>
      <c r="B6" s="19" t="s">
        <v>181</v>
      </c>
      <c r="C6" s="7" t="s">
        <v>186</v>
      </c>
      <c r="D6" s="18" t="s">
        <v>187</v>
      </c>
      <c r="E6" s="20" t="s">
        <v>101</v>
      </c>
      <c r="F6" s="20" t="s">
        <v>188</v>
      </c>
      <c r="G6" s="18">
        <f t="shared" si="0"/>
        <v>14</v>
      </c>
      <c r="H6" s="21">
        <v>1</v>
      </c>
      <c r="I6" s="19" t="s">
        <v>185</v>
      </c>
    </row>
    <row r="7" spans="1:9" ht="15" customHeight="1">
      <c r="A7" s="18">
        <v>3</v>
      </c>
      <c r="B7" s="19" t="s">
        <v>189</v>
      </c>
      <c r="C7" s="7" t="s">
        <v>190</v>
      </c>
      <c r="D7" s="19" t="s">
        <v>56</v>
      </c>
      <c r="E7" s="20" t="s">
        <v>191</v>
      </c>
      <c r="F7" s="20" t="s">
        <v>192</v>
      </c>
      <c r="G7" s="18">
        <f t="shared" si="0"/>
        <v>39</v>
      </c>
      <c r="H7" s="21">
        <v>1</v>
      </c>
      <c r="I7" s="19" t="s">
        <v>185</v>
      </c>
    </row>
    <row r="8" spans="1:9" ht="15" customHeight="1">
      <c r="A8" s="18">
        <v>4</v>
      </c>
      <c r="B8" s="19" t="s">
        <v>189</v>
      </c>
      <c r="C8" s="7" t="s">
        <v>193</v>
      </c>
      <c r="D8" s="19" t="s">
        <v>56</v>
      </c>
      <c r="E8" s="20" t="s">
        <v>191</v>
      </c>
      <c r="F8" s="20" t="s">
        <v>194</v>
      </c>
      <c r="G8" s="18">
        <f t="shared" si="0"/>
        <v>53</v>
      </c>
      <c r="H8" s="21">
        <v>1</v>
      </c>
      <c r="I8" s="19" t="s">
        <v>185</v>
      </c>
    </row>
    <row r="9" spans="1:9" ht="15" customHeight="1">
      <c r="A9" s="18">
        <v>5</v>
      </c>
      <c r="B9" s="19" t="s">
        <v>189</v>
      </c>
      <c r="C9" s="6" t="s">
        <v>195</v>
      </c>
      <c r="D9" s="18" t="s">
        <v>196</v>
      </c>
      <c r="E9" s="20" t="s">
        <v>197</v>
      </c>
      <c r="F9" s="20" t="s">
        <v>153</v>
      </c>
      <c r="G9" s="18">
        <f t="shared" si="0"/>
        <v>46</v>
      </c>
      <c r="H9" s="21">
        <v>1</v>
      </c>
      <c r="I9" s="19" t="s">
        <v>185</v>
      </c>
    </row>
    <row r="10" spans="1:9" ht="15" customHeight="1">
      <c r="A10" s="18">
        <v>6</v>
      </c>
      <c r="B10" s="19" t="s">
        <v>189</v>
      </c>
      <c r="C10" s="7" t="s">
        <v>198</v>
      </c>
      <c r="D10" s="18" t="s">
        <v>187</v>
      </c>
      <c r="E10" s="20" t="s">
        <v>199</v>
      </c>
      <c r="F10" s="20" t="s">
        <v>155</v>
      </c>
      <c r="G10" s="18">
        <f t="shared" si="0"/>
        <v>4</v>
      </c>
      <c r="H10" s="21">
        <v>1</v>
      </c>
      <c r="I10" s="19" t="s">
        <v>185</v>
      </c>
    </row>
    <row r="11" spans="1:9" ht="15" customHeight="1">
      <c r="A11" s="18">
        <v>7</v>
      </c>
      <c r="B11" s="19" t="s">
        <v>200</v>
      </c>
      <c r="C11" s="7" t="s">
        <v>201</v>
      </c>
      <c r="D11" s="19" t="s">
        <v>56</v>
      </c>
      <c r="E11" s="20" t="s">
        <v>202</v>
      </c>
      <c r="F11" s="20" t="s">
        <v>203</v>
      </c>
      <c r="G11" s="18">
        <f t="shared" si="0"/>
        <v>54</v>
      </c>
      <c r="H11" s="21">
        <v>1</v>
      </c>
      <c r="I11" s="19" t="s">
        <v>185</v>
      </c>
    </row>
    <row r="12" spans="1:9" ht="15" customHeight="1">
      <c r="A12" s="18">
        <v>8</v>
      </c>
      <c r="B12" s="19" t="s">
        <v>200</v>
      </c>
      <c r="C12" s="6" t="s">
        <v>204</v>
      </c>
      <c r="D12" s="18" t="s">
        <v>196</v>
      </c>
      <c r="E12" s="20" t="s">
        <v>202</v>
      </c>
      <c r="F12" s="20" t="s">
        <v>205</v>
      </c>
      <c r="G12" s="18">
        <f t="shared" si="0"/>
        <v>68</v>
      </c>
      <c r="H12" s="21">
        <v>0.95</v>
      </c>
      <c r="I12" s="19" t="s">
        <v>206</v>
      </c>
    </row>
    <row r="13" spans="1:9" ht="15" customHeight="1">
      <c r="A13" s="18">
        <v>9</v>
      </c>
      <c r="B13" s="19" t="s">
        <v>200</v>
      </c>
      <c r="C13" s="7" t="s">
        <v>207</v>
      </c>
      <c r="D13" s="18" t="s">
        <v>187</v>
      </c>
      <c r="E13" s="20" t="s">
        <v>208</v>
      </c>
      <c r="F13" s="20" t="s">
        <v>209</v>
      </c>
      <c r="G13" s="18">
        <f t="shared" si="0"/>
        <v>5</v>
      </c>
      <c r="H13" s="21">
        <v>0.3</v>
      </c>
      <c r="I13" s="19" t="s">
        <v>206</v>
      </c>
    </row>
    <row r="14" spans="1:9" ht="15" customHeight="1">
      <c r="A14" s="18">
        <v>10</v>
      </c>
      <c r="B14" s="19" t="s">
        <v>200</v>
      </c>
      <c r="C14" s="7" t="s">
        <v>210</v>
      </c>
      <c r="D14" s="18" t="s">
        <v>187</v>
      </c>
      <c r="E14" s="20" t="s">
        <v>211</v>
      </c>
      <c r="F14" s="20" t="s">
        <v>212</v>
      </c>
      <c r="G14" s="18">
        <f t="shared" si="0"/>
        <v>5</v>
      </c>
      <c r="H14" s="21">
        <v>0.1</v>
      </c>
      <c r="I14" s="19" t="s">
        <v>206</v>
      </c>
    </row>
    <row r="15" spans="1:9" ht="15" customHeight="1">
      <c r="A15" s="18">
        <v>11</v>
      </c>
      <c r="B15" s="19" t="s">
        <v>213</v>
      </c>
      <c r="C15" s="7" t="s">
        <v>214</v>
      </c>
      <c r="D15" s="19" t="s">
        <v>215</v>
      </c>
      <c r="E15" s="20" t="s">
        <v>216</v>
      </c>
      <c r="F15" s="20" t="s">
        <v>217</v>
      </c>
      <c r="G15" s="18">
        <f t="shared" si="0"/>
        <v>82</v>
      </c>
      <c r="H15" s="21">
        <v>0</v>
      </c>
      <c r="I15" s="19" t="s">
        <v>218</v>
      </c>
    </row>
    <row r="16" spans="1:9" ht="15" customHeight="1">
      <c r="A16" s="18">
        <v>12</v>
      </c>
      <c r="B16" s="19" t="s">
        <v>213</v>
      </c>
      <c r="C16" s="7" t="s">
        <v>219</v>
      </c>
      <c r="D16" s="19" t="s">
        <v>215</v>
      </c>
      <c r="E16" s="20" t="s">
        <v>220</v>
      </c>
      <c r="F16" s="20" t="s">
        <v>221</v>
      </c>
      <c r="G16" s="18">
        <f t="shared" si="0"/>
        <v>82</v>
      </c>
      <c r="H16" s="21">
        <v>0</v>
      </c>
      <c r="I16" s="19" t="s">
        <v>218</v>
      </c>
    </row>
    <row r="17" spans="1:9" ht="15" customHeight="1">
      <c r="A17" s="18">
        <v>13</v>
      </c>
      <c r="B17" s="19" t="s">
        <v>213</v>
      </c>
      <c r="C17" s="6" t="s">
        <v>222</v>
      </c>
      <c r="D17" s="19" t="s">
        <v>215</v>
      </c>
      <c r="E17" s="20" t="s">
        <v>220</v>
      </c>
      <c r="F17" s="20" t="s">
        <v>223</v>
      </c>
      <c r="G17" s="18">
        <f t="shared" si="0"/>
        <v>89</v>
      </c>
      <c r="H17" s="21">
        <v>0</v>
      </c>
      <c r="I17" s="19" t="s">
        <v>218</v>
      </c>
    </row>
    <row r="18" spans="1:9" ht="15" customHeight="1">
      <c r="A18" s="18">
        <v>14</v>
      </c>
      <c r="B18" s="19" t="s">
        <v>224</v>
      </c>
      <c r="C18" s="7" t="s">
        <v>225</v>
      </c>
      <c r="D18" s="19" t="s">
        <v>226</v>
      </c>
      <c r="E18" s="20" t="s">
        <v>227</v>
      </c>
      <c r="F18" s="20" t="s">
        <v>228</v>
      </c>
      <c r="G18" s="18">
        <f t="shared" si="0"/>
        <v>33</v>
      </c>
      <c r="H18" s="21">
        <v>0</v>
      </c>
      <c r="I18" s="19" t="s">
        <v>218</v>
      </c>
    </row>
    <row r="19" spans="1:9" ht="15" customHeight="1">
      <c r="A19" s="18">
        <v>15</v>
      </c>
      <c r="B19" s="19" t="s">
        <v>229</v>
      </c>
      <c r="C19" s="7" t="s">
        <v>230</v>
      </c>
      <c r="D19" s="19" t="s">
        <v>226</v>
      </c>
      <c r="E19" s="20" t="s">
        <v>231</v>
      </c>
      <c r="F19" s="20" t="s">
        <v>232</v>
      </c>
      <c r="G19" s="18">
        <f t="shared" si="0"/>
        <v>40</v>
      </c>
      <c r="H19" s="21">
        <v>0</v>
      </c>
      <c r="I19" s="19" t="s">
        <v>218</v>
      </c>
    </row>
    <row r="20" spans="1:9" ht="15" customHeight="1">
      <c r="A20" s="18">
        <v>16</v>
      </c>
      <c r="B20" s="19" t="s">
        <v>233</v>
      </c>
      <c r="C20" s="7" t="s">
        <v>234</v>
      </c>
      <c r="D20" s="19" t="s">
        <v>226</v>
      </c>
      <c r="E20" s="20" t="s">
        <v>235</v>
      </c>
      <c r="F20" s="20" t="s">
        <v>236</v>
      </c>
      <c r="G20" s="18">
        <f t="shared" si="0"/>
        <v>61</v>
      </c>
      <c r="H20" s="21">
        <v>0</v>
      </c>
      <c r="I20" s="19" t="s">
        <v>218</v>
      </c>
    </row>
    <row r="21" spans="1:9" ht="15" customHeight="1">
      <c r="A21" s="18">
        <v>17</v>
      </c>
      <c r="B21" s="19" t="s">
        <v>237</v>
      </c>
      <c r="C21" s="7" t="s">
        <v>238</v>
      </c>
      <c r="D21" s="18" t="s">
        <v>187</v>
      </c>
      <c r="E21" s="20" t="s">
        <v>239</v>
      </c>
      <c r="F21" s="20" t="s">
        <v>240</v>
      </c>
      <c r="G21" s="18">
        <f t="shared" si="0"/>
        <v>5</v>
      </c>
      <c r="H21" s="21">
        <v>0</v>
      </c>
      <c r="I21" s="19" t="s">
        <v>218</v>
      </c>
    </row>
    <row r="22" spans="1:9" ht="15" customHeight="1">
      <c r="A22" s="18">
        <v>18</v>
      </c>
      <c r="B22" s="19" t="s">
        <v>241</v>
      </c>
      <c r="C22" s="7" t="s">
        <v>242</v>
      </c>
      <c r="D22" s="19" t="s">
        <v>243</v>
      </c>
      <c r="E22" s="20" t="s">
        <v>244</v>
      </c>
      <c r="F22" s="20" t="s">
        <v>245</v>
      </c>
      <c r="G22" s="18">
        <f t="shared" si="0"/>
        <v>9</v>
      </c>
      <c r="H22" s="21">
        <v>0</v>
      </c>
      <c r="I22" s="19" t="s">
        <v>218</v>
      </c>
    </row>
    <row r="24" spans="1:9" ht="15" customHeight="1">
      <c r="B24" s="3" t="s">
        <v>246</v>
      </c>
      <c r="C24" s="22">
        <f>AVERAGE(H5:H22)</f>
        <v>0.46388888888888885</v>
      </c>
    </row>
  </sheetData>
  <phoneticPr fontId="16"/>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zoomScaleNormal="100" workbookViewId="0">
      <pane ySplit="4" topLeftCell="A5" activePane="bottomLeft" state="frozen"/>
      <selection pane="bottomLeft" activeCell="E21" sqref="E21"/>
    </sheetView>
  </sheetViews>
  <sheetFormatPr defaultColWidth="8.6328125" defaultRowHeight="14.5"/>
  <cols>
    <col min="1" max="1" width="16" customWidth="1"/>
    <col min="2" max="2" width="8" customWidth="1"/>
    <col min="3" max="3" width="14" customWidth="1"/>
    <col min="4" max="4" width="30" customWidth="1"/>
    <col min="5" max="6" width="14" customWidth="1"/>
    <col min="7" max="7" width="12" customWidth="1"/>
    <col min="8" max="8" width="10" customWidth="1"/>
    <col min="9" max="9" width="38" customWidth="1"/>
  </cols>
  <sheetData>
    <row r="1" spans="1:9" ht="21" customHeight="1">
      <c r="A1" s="1" t="s">
        <v>247</v>
      </c>
    </row>
    <row r="2" spans="1:9" ht="15" customHeight="1">
      <c r="A2" s="15" t="s">
        <v>248</v>
      </c>
    </row>
    <row r="4" spans="1:9" ht="15" customHeight="1">
      <c r="A4" s="10" t="s">
        <v>249</v>
      </c>
      <c r="B4" s="10" t="s">
        <v>250</v>
      </c>
      <c r="C4" s="10" t="s">
        <v>251</v>
      </c>
      <c r="D4" s="10" t="s">
        <v>252</v>
      </c>
      <c r="E4" s="10" t="s">
        <v>253</v>
      </c>
      <c r="F4" s="10" t="s">
        <v>254</v>
      </c>
      <c r="G4" s="10" t="s">
        <v>255</v>
      </c>
      <c r="H4" s="10" t="s">
        <v>256</v>
      </c>
      <c r="I4" s="10" t="s">
        <v>257</v>
      </c>
    </row>
    <row r="5" spans="1:9" ht="29.25" customHeight="1">
      <c r="A5" s="18" t="s">
        <v>258</v>
      </c>
      <c r="B5" s="18">
        <v>2022</v>
      </c>
      <c r="C5" s="19" t="s">
        <v>53</v>
      </c>
      <c r="D5" s="7" t="s">
        <v>259</v>
      </c>
      <c r="E5" s="18">
        <v>25</v>
      </c>
      <c r="F5" s="18">
        <v>30</v>
      </c>
      <c r="G5" s="18">
        <f t="shared" ref="G5:G11" si="0">F5-E5</f>
        <v>5</v>
      </c>
      <c r="H5" s="23">
        <f t="shared" ref="H5:H11" si="1">IFERROR(G5/E5,0)</f>
        <v>0.2</v>
      </c>
      <c r="I5" s="7" t="s">
        <v>260</v>
      </c>
    </row>
    <row r="6" spans="1:9" ht="15" customHeight="1">
      <c r="A6" s="18" t="s">
        <v>258</v>
      </c>
      <c r="B6" s="18">
        <v>2022</v>
      </c>
      <c r="C6" s="19" t="s">
        <v>63</v>
      </c>
      <c r="D6" s="6" t="s">
        <v>261</v>
      </c>
      <c r="E6" s="18">
        <v>20</v>
      </c>
      <c r="F6" s="18">
        <v>21</v>
      </c>
      <c r="G6" s="18">
        <f t="shared" si="0"/>
        <v>1</v>
      </c>
      <c r="H6" s="23">
        <f t="shared" si="1"/>
        <v>0.05</v>
      </c>
      <c r="I6" s="6"/>
    </row>
    <row r="7" spans="1:9" ht="29.25" customHeight="1">
      <c r="A7" s="18" t="s">
        <v>258</v>
      </c>
      <c r="B7" s="18">
        <v>2022</v>
      </c>
      <c r="C7" s="18" t="s">
        <v>78</v>
      </c>
      <c r="D7" s="7" t="s">
        <v>262</v>
      </c>
      <c r="E7" s="18">
        <v>30</v>
      </c>
      <c r="F7" s="18">
        <v>46</v>
      </c>
      <c r="G7" s="18">
        <f t="shared" si="0"/>
        <v>16</v>
      </c>
      <c r="H7" s="23">
        <f t="shared" si="1"/>
        <v>0.53333333333333333</v>
      </c>
      <c r="I7" s="7" t="s">
        <v>263</v>
      </c>
    </row>
    <row r="8" spans="1:9" ht="15" customHeight="1">
      <c r="A8" s="18" t="s">
        <v>264</v>
      </c>
      <c r="B8" s="18">
        <v>2023</v>
      </c>
      <c r="C8" s="19" t="s">
        <v>81</v>
      </c>
      <c r="D8" s="6" t="s">
        <v>265</v>
      </c>
      <c r="E8" s="18">
        <v>22</v>
      </c>
      <c r="F8" s="18">
        <v>24</v>
      </c>
      <c r="G8" s="18">
        <f t="shared" si="0"/>
        <v>2</v>
      </c>
      <c r="H8" s="23">
        <f t="shared" si="1"/>
        <v>9.0909090909090912E-2</v>
      </c>
      <c r="I8" s="6"/>
    </row>
    <row r="9" spans="1:9" ht="15" customHeight="1">
      <c r="A9" s="18" t="s">
        <v>264</v>
      </c>
      <c r="B9" s="18">
        <v>2023</v>
      </c>
      <c r="C9" s="19" t="s">
        <v>81</v>
      </c>
      <c r="D9" s="7" t="s">
        <v>266</v>
      </c>
      <c r="E9" s="18">
        <v>15</v>
      </c>
      <c r="F9" s="18">
        <v>22</v>
      </c>
      <c r="G9" s="18">
        <f t="shared" si="0"/>
        <v>7</v>
      </c>
      <c r="H9" s="23">
        <f t="shared" si="1"/>
        <v>0.46666666666666667</v>
      </c>
      <c r="I9" s="7" t="s">
        <v>267</v>
      </c>
    </row>
    <row r="10" spans="1:9" ht="29.25" customHeight="1">
      <c r="A10" s="18" t="s">
        <v>264</v>
      </c>
      <c r="B10" s="18">
        <v>2023</v>
      </c>
      <c r="C10" s="18" t="s">
        <v>78</v>
      </c>
      <c r="D10" s="7" t="s">
        <v>268</v>
      </c>
      <c r="E10" s="18">
        <v>18</v>
      </c>
      <c r="F10" s="18">
        <v>27</v>
      </c>
      <c r="G10" s="18">
        <f t="shared" si="0"/>
        <v>9</v>
      </c>
      <c r="H10" s="23">
        <f t="shared" si="1"/>
        <v>0.5</v>
      </c>
      <c r="I10" s="7" t="s">
        <v>269</v>
      </c>
    </row>
    <row r="11" spans="1:9" ht="15" customHeight="1">
      <c r="A11" s="18" t="s">
        <v>264</v>
      </c>
      <c r="B11" s="18">
        <v>2023</v>
      </c>
      <c r="C11" s="19" t="s">
        <v>118</v>
      </c>
      <c r="D11" s="7" t="s">
        <v>270</v>
      </c>
      <c r="E11" s="18">
        <v>12</v>
      </c>
      <c r="F11" s="18">
        <v>13</v>
      </c>
      <c r="G11" s="18">
        <f t="shared" si="0"/>
        <v>1</v>
      </c>
      <c r="H11" s="23">
        <f t="shared" si="1"/>
        <v>8.3333333333333329E-2</v>
      </c>
      <c r="I11" s="6"/>
    </row>
    <row r="13" spans="1:9" ht="15" customHeight="1">
      <c r="C13" s="3" t="s">
        <v>271</v>
      </c>
      <c r="D13" s="22">
        <f>AVERAGE(H5:H11)</f>
        <v>0.27489177489177485</v>
      </c>
    </row>
    <row r="14" spans="1:9" ht="32.25" customHeight="1">
      <c r="C14" s="3" t="s">
        <v>51</v>
      </c>
      <c r="D14" s="35" t="s">
        <v>272</v>
      </c>
      <c r="E14" s="35"/>
      <c r="F14" s="35"/>
      <c r="G14" s="35"/>
      <c r="H14" s="35"/>
      <c r="I14" s="35"/>
    </row>
  </sheetData>
  <mergeCells count="1">
    <mergeCell ref="D14:I14"/>
  </mergeCells>
  <phoneticPr fontId="16"/>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zoomScaleNormal="100" workbookViewId="0">
      <pane ySplit="4" topLeftCell="A5" activePane="bottomLeft" state="frozen"/>
      <selection pane="bottomLeft"/>
    </sheetView>
  </sheetViews>
  <sheetFormatPr defaultColWidth="8.6328125" defaultRowHeight="14.5"/>
  <cols>
    <col min="1" max="1" width="16" customWidth="1"/>
    <col min="2" max="2" width="34" customWidth="1"/>
    <col min="3" max="3" width="16" customWidth="1"/>
    <col min="4" max="4" width="20" customWidth="1"/>
    <col min="5" max="5" width="22" customWidth="1"/>
    <col min="6" max="6" width="20" customWidth="1"/>
  </cols>
  <sheetData>
    <row r="1" spans="1:6" ht="21" customHeight="1">
      <c r="A1" s="1" t="s">
        <v>273</v>
      </c>
    </row>
    <row r="2" spans="1:6" ht="15" customHeight="1">
      <c r="A2" s="15" t="s">
        <v>274</v>
      </c>
    </row>
    <row r="4" spans="1:6" ht="29.25" customHeight="1">
      <c r="A4" s="10" t="s">
        <v>251</v>
      </c>
      <c r="B4" s="10" t="s">
        <v>252</v>
      </c>
      <c r="C4" s="10" t="s">
        <v>275</v>
      </c>
      <c r="D4" s="10" t="s">
        <v>276</v>
      </c>
      <c r="E4" s="10" t="s">
        <v>277</v>
      </c>
      <c r="F4" s="10" t="s">
        <v>278</v>
      </c>
    </row>
    <row r="5" spans="1:6" ht="29.25" customHeight="1">
      <c r="A5" s="18" t="s">
        <v>78</v>
      </c>
      <c r="B5" s="7" t="s">
        <v>279</v>
      </c>
      <c r="C5" s="18">
        <v>45</v>
      </c>
      <c r="D5" s="23">
        <f>AVERAGE('04_見積実績_過去機種'!H6,'04_見積実績_過去機種'!H9)</f>
        <v>0.25833333333333336</v>
      </c>
      <c r="E5" s="24">
        <f>C5*(1+D5)</f>
        <v>56.625</v>
      </c>
      <c r="F5" s="18" t="str">
        <f>IF(C5&gt;=E5,"妥当","過小見積りの疑いあり")</f>
        <v>過小見積りの疑いあり</v>
      </c>
    </row>
    <row r="6" spans="1:6" ht="15" customHeight="1">
      <c r="A6" s="19" t="s">
        <v>53</v>
      </c>
      <c r="B6" s="7" t="s">
        <v>280</v>
      </c>
      <c r="C6" s="18">
        <v>32</v>
      </c>
      <c r="D6" s="23">
        <f>'04_見積実績_過去機種'!H5</f>
        <v>0.2</v>
      </c>
      <c r="E6" s="24">
        <f>C6*(1+D6)</f>
        <v>38.4</v>
      </c>
      <c r="F6" s="18" t="str">
        <f>IF(C6&gt;=E6,"妥当","過小見積りの疑いあり")</f>
        <v>過小見積りの疑いあり</v>
      </c>
    </row>
    <row r="7" spans="1:6" ht="15" customHeight="1">
      <c r="A7" s="19" t="s">
        <v>81</v>
      </c>
      <c r="B7" s="6" t="s">
        <v>281</v>
      </c>
      <c r="C7" s="18">
        <v>30</v>
      </c>
      <c r="D7" s="23">
        <f>AVERAGE('04_見積実績_過去機種'!H7,'04_見積実績_過去機種'!H8)</f>
        <v>0.31212121212121213</v>
      </c>
      <c r="E7" s="24">
        <f>C7*(1+D7)</f>
        <v>39.36363636363636</v>
      </c>
      <c r="F7" s="18" t="str">
        <f>IF(C7&gt;=E7,"妥当","過小見積りの疑いあり")</f>
        <v>過小見積りの疑いあり</v>
      </c>
    </row>
    <row r="8" spans="1:6" ht="15" customHeight="1">
      <c r="A8" s="19" t="s">
        <v>63</v>
      </c>
      <c r="B8" s="6" t="s">
        <v>261</v>
      </c>
      <c r="C8" s="18">
        <v>22</v>
      </c>
      <c r="D8" s="23">
        <f>'04_見積実績_過去機種'!H6</f>
        <v>0.05</v>
      </c>
      <c r="E8" s="24">
        <f>C8*(1+D8)</f>
        <v>23.1</v>
      </c>
      <c r="F8" s="18" t="str">
        <f>IF(C8&gt;=E8,"妥当","過小見積りの疑いあり")</f>
        <v>過小見積りの疑いあり</v>
      </c>
    </row>
    <row r="10" spans="1:6" ht="30" customHeight="1">
      <c r="A10" s="34" t="s">
        <v>282</v>
      </c>
      <c r="B10" s="34"/>
      <c r="C10" s="34"/>
      <c r="D10" s="34"/>
      <c r="E10" s="34"/>
      <c r="F10" s="34"/>
    </row>
  </sheetData>
  <mergeCells count="1">
    <mergeCell ref="A10:F10"/>
  </mergeCells>
  <phoneticPr fontId="16"/>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zoomScaleNormal="100" workbookViewId="0">
      <pane ySplit="4" topLeftCell="A5" activePane="bottomLeft" state="frozen"/>
      <selection pane="bottomLeft"/>
    </sheetView>
  </sheetViews>
  <sheetFormatPr defaultColWidth="8.6328125" defaultRowHeight="14.5"/>
  <cols>
    <col min="1" max="1" width="14" customWidth="1"/>
    <col min="2" max="2" width="18" customWidth="1"/>
    <col min="3" max="3" width="12" customWidth="1"/>
    <col min="4" max="4" width="14" customWidth="1"/>
    <col min="5" max="5" width="52" customWidth="1"/>
    <col min="6" max="6" width="16" customWidth="1"/>
    <col min="7" max="7" width="8" customWidth="1"/>
    <col min="8" max="8" width="42" customWidth="1"/>
  </cols>
  <sheetData>
    <row r="1" spans="1:8" ht="21" customHeight="1">
      <c r="A1" s="1" t="s">
        <v>283</v>
      </c>
    </row>
    <row r="2" spans="1:8" ht="15" customHeight="1">
      <c r="A2" s="15" t="s">
        <v>284</v>
      </c>
    </row>
    <row r="4" spans="1:8" ht="15" customHeight="1">
      <c r="A4" s="10" t="s">
        <v>285</v>
      </c>
      <c r="B4" s="10" t="s">
        <v>249</v>
      </c>
      <c r="C4" s="10" t="s">
        <v>286</v>
      </c>
      <c r="D4" s="10" t="s">
        <v>251</v>
      </c>
      <c r="E4" s="10" t="s">
        <v>287</v>
      </c>
      <c r="F4" s="10" t="s">
        <v>288</v>
      </c>
      <c r="G4" s="10" t="s">
        <v>289</v>
      </c>
      <c r="H4" s="10" t="s">
        <v>290</v>
      </c>
    </row>
    <row r="5" spans="1:8" ht="43.5" customHeight="1">
      <c r="A5" s="11" t="s">
        <v>291</v>
      </c>
      <c r="B5" s="11" t="s">
        <v>258</v>
      </c>
      <c r="C5" s="12" t="s">
        <v>229</v>
      </c>
      <c r="D5" s="11" t="s">
        <v>78</v>
      </c>
      <c r="E5" s="13" t="s">
        <v>292</v>
      </c>
      <c r="F5" s="12" t="s">
        <v>293</v>
      </c>
      <c r="G5" s="25" t="s">
        <v>294</v>
      </c>
      <c r="H5" s="13" t="s">
        <v>295</v>
      </c>
    </row>
    <row r="6" spans="1:8" ht="43.5" customHeight="1">
      <c r="A6" s="11" t="s">
        <v>296</v>
      </c>
      <c r="B6" s="11" t="s">
        <v>258</v>
      </c>
      <c r="C6" s="12" t="s">
        <v>233</v>
      </c>
      <c r="D6" s="12" t="s">
        <v>63</v>
      </c>
      <c r="E6" s="13" t="s">
        <v>297</v>
      </c>
      <c r="F6" s="12" t="s">
        <v>298</v>
      </c>
      <c r="G6" s="26" t="s">
        <v>299</v>
      </c>
      <c r="H6" s="13" t="s">
        <v>300</v>
      </c>
    </row>
    <row r="7" spans="1:8" ht="43.5" customHeight="1">
      <c r="A7" s="11" t="s">
        <v>301</v>
      </c>
      <c r="B7" s="11" t="s">
        <v>264</v>
      </c>
      <c r="C7" s="12" t="s">
        <v>229</v>
      </c>
      <c r="D7" s="12" t="s">
        <v>81</v>
      </c>
      <c r="E7" s="13" t="s">
        <v>302</v>
      </c>
      <c r="F7" s="12" t="s">
        <v>293</v>
      </c>
      <c r="G7" s="27" t="s">
        <v>303</v>
      </c>
      <c r="H7" s="13" t="s">
        <v>304</v>
      </c>
    </row>
    <row r="8" spans="1:8" ht="43.5" customHeight="1">
      <c r="A8" s="11" t="s">
        <v>305</v>
      </c>
      <c r="B8" s="11" t="s">
        <v>264</v>
      </c>
      <c r="C8" s="12" t="s">
        <v>306</v>
      </c>
      <c r="D8" s="12" t="s">
        <v>81</v>
      </c>
      <c r="E8" s="13" t="s">
        <v>307</v>
      </c>
      <c r="F8" s="12" t="s">
        <v>293</v>
      </c>
      <c r="G8" s="27" t="s">
        <v>303</v>
      </c>
      <c r="H8" s="13" t="s">
        <v>308</v>
      </c>
    </row>
    <row r="9" spans="1:8" ht="29.25" customHeight="1">
      <c r="A9" s="11" t="s">
        <v>309</v>
      </c>
      <c r="B9" s="11" t="s">
        <v>264</v>
      </c>
      <c r="C9" s="12" t="s">
        <v>233</v>
      </c>
      <c r="D9" s="12" t="s">
        <v>118</v>
      </c>
      <c r="E9" s="13" t="s">
        <v>310</v>
      </c>
      <c r="F9" s="12" t="s">
        <v>298</v>
      </c>
      <c r="G9" s="25" t="s">
        <v>294</v>
      </c>
      <c r="H9" s="13" t="s">
        <v>311</v>
      </c>
    </row>
    <row r="10" spans="1:8" ht="29.25" customHeight="1">
      <c r="A10" s="11" t="s">
        <v>312</v>
      </c>
      <c r="B10" s="11" t="s">
        <v>258</v>
      </c>
      <c r="C10" s="12" t="s">
        <v>306</v>
      </c>
      <c r="D10" s="12" t="s">
        <v>53</v>
      </c>
      <c r="E10" s="13" t="s">
        <v>313</v>
      </c>
      <c r="F10" s="12" t="s">
        <v>314</v>
      </c>
      <c r="G10" s="25" t="s">
        <v>294</v>
      </c>
      <c r="H10" s="13" t="s">
        <v>315</v>
      </c>
    </row>
  </sheetData>
  <phoneticPr fontId="16"/>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7"/>
  <sheetViews>
    <sheetView zoomScaleNormal="100" workbookViewId="0">
      <pane ySplit="4" topLeftCell="A5" activePane="bottomLeft" state="frozen"/>
      <selection pane="bottomLeft"/>
    </sheetView>
  </sheetViews>
  <sheetFormatPr defaultColWidth="8.6328125" defaultRowHeight="14.5"/>
  <cols>
    <col min="1" max="1" width="9" customWidth="1"/>
    <col min="2" max="2" width="14" customWidth="1"/>
    <col min="3" max="3" width="30" customWidth="1"/>
    <col min="4" max="4" width="24" customWidth="1"/>
    <col min="5" max="5" width="46" customWidth="1"/>
    <col min="6" max="6" width="12" customWidth="1"/>
    <col min="7" max="7" width="9" customWidth="1"/>
  </cols>
  <sheetData>
    <row r="1" spans="1:7" ht="17.25" customHeight="1">
      <c r="A1" s="1" t="s">
        <v>316</v>
      </c>
    </row>
    <row r="2" spans="1:7" ht="15" customHeight="1">
      <c r="A2" s="2" t="s">
        <v>317</v>
      </c>
    </row>
    <row r="4" spans="1:7" ht="15" customHeight="1">
      <c r="A4" s="17" t="s">
        <v>318</v>
      </c>
      <c r="B4" s="10" t="s">
        <v>137</v>
      </c>
      <c r="C4" s="10" t="s">
        <v>319</v>
      </c>
      <c r="D4" s="10" t="s">
        <v>320</v>
      </c>
      <c r="E4" s="10" t="s">
        <v>321</v>
      </c>
      <c r="F4" s="10" t="s">
        <v>322</v>
      </c>
      <c r="G4" s="10" t="s">
        <v>323</v>
      </c>
    </row>
    <row r="5" spans="1:7" ht="15" customHeight="1">
      <c r="A5" s="11" t="s">
        <v>324</v>
      </c>
      <c r="B5" s="11" t="s">
        <v>52</v>
      </c>
      <c r="C5" s="13" t="s">
        <v>325</v>
      </c>
      <c r="D5" s="13" t="s">
        <v>326</v>
      </c>
      <c r="E5" s="13" t="s">
        <v>327</v>
      </c>
      <c r="F5" s="12" t="s">
        <v>233</v>
      </c>
      <c r="G5" s="12" t="s">
        <v>328</v>
      </c>
    </row>
    <row r="6" spans="1:7" ht="29.25" customHeight="1">
      <c r="A6" s="11" t="s">
        <v>329</v>
      </c>
      <c r="B6" s="11" t="s">
        <v>62</v>
      </c>
      <c r="C6" s="13" t="s">
        <v>330</v>
      </c>
      <c r="D6" s="13" t="s">
        <v>331</v>
      </c>
      <c r="E6" s="13" t="s">
        <v>332</v>
      </c>
      <c r="F6" s="12" t="s">
        <v>233</v>
      </c>
      <c r="G6" s="12" t="s">
        <v>328</v>
      </c>
    </row>
    <row r="7" spans="1:7" ht="29.25" customHeight="1">
      <c r="A7" s="11" t="s">
        <v>333</v>
      </c>
      <c r="B7" s="11" t="s">
        <v>334</v>
      </c>
      <c r="C7" s="13" t="s">
        <v>335</v>
      </c>
      <c r="D7" s="13" t="s">
        <v>336</v>
      </c>
      <c r="E7" s="13" t="s">
        <v>337</v>
      </c>
      <c r="F7" s="12" t="s">
        <v>229</v>
      </c>
      <c r="G7" s="12" t="s">
        <v>328</v>
      </c>
    </row>
    <row r="8" spans="1:7" ht="29.25" customHeight="1">
      <c r="A8" s="11" t="s">
        <v>338</v>
      </c>
      <c r="B8" s="11" t="s">
        <v>339</v>
      </c>
      <c r="C8" s="13" t="s">
        <v>340</v>
      </c>
      <c r="D8" s="13" t="s">
        <v>341</v>
      </c>
      <c r="E8" s="14" t="s">
        <v>342</v>
      </c>
      <c r="F8" s="12" t="s">
        <v>229</v>
      </c>
      <c r="G8" s="12" t="s">
        <v>328</v>
      </c>
    </row>
    <row r="9" spans="1:7" ht="29.25" customHeight="1">
      <c r="A9" s="11" t="s">
        <v>343</v>
      </c>
      <c r="B9" s="11" t="s">
        <v>344</v>
      </c>
      <c r="C9" s="13" t="s">
        <v>345</v>
      </c>
      <c r="D9" s="13" t="s">
        <v>346</v>
      </c>
      <c r="E9" s="13" t="s">
        <v>347</v>
      </c>
      <c r="F9" s="12" t="s">
        <v>233</v>
      </c>
      <c r="G9" s="12" t="s">
        <v>328</v>
      </c>
    </row>
    <row r="10" spans="1:7" ht="29.25" customHeight="1">
      <c r="A10" s="11" t="s">
        <v>348</v>
      </c>
      <c r="B10" s="11" t="s">
        <v>68</v>
      </c>
      <c r="C10" s="13" t="s">
        <v>349</v>
      </c>
      <c r="D10" s="13" t="s">
        <v>350</v>
      </c>
      <c r="E10" s="13" t="s">
        <v>351</v>
      </c>
      <c r="F10" s="12" t="s">
        <v>229</v>
      </c>
      <c r="G10" s="12" t="s">
        <v>328</v>
      </c>
    </row>
    <row r="11" spans="1:7" ht="15" customHeight="1">
      <c r="A11" s="11" t="s">
        <v>352</v>
      </c>
      <c r="B11" s="11" t="s">
        <v>93</v>
      </c>
      <c r="C11" s="13" t="s">
        <v>353</v>
      </c>
      <c r="D11" s="13" t="s">
        <v>354</v>
      </c>
      <c r="E11" s="13" t="s">
        <v>355</v>
      </c>
      <c r="F11" s="12" t="s">
        <v>229</v>
      </c>
      <c r="G11" s="12" t="s">
        <v>328</v>
      </c>
    </row>
    <row r="12" spans="1:7" ht="29.25" customHeight="1">
      <c r="A12" s="11" t="s">
        <v>356</v>
      </c>
      <c r="B12" s="11" t="s">
        <v>98</v>
      </c>
      <c r="C12" s="13" t="s">
        <v>357</v>
      </c>
      <c r="D12" s="13" t="s">
        <v>354</v>
      </c>
      <c r="E12" s="13" t="s">
        <v>358</v>
      </c>
      <c r="F12" s="12" t="s">
        <v>229</v>
      </c>
      <c r="G12" s="12" t="s">
        <v>328</v>
      </c>
    </row>
    <row r="13" spans="1:7" ht="29.25" customHeight="1">
      <c r="A13" s="11" t="s">
        <v>359</v>
      </c>
      <c r="B13" s="11" t="s">
        <v>360</v>
      </c>
      <c r="C13" s="13" t="s">
        <v>361</v>
      </c>
      <c r="D13" s="13" t="s">
        <v>354</v>
      </c>
      <c r="E13" s="13" t="s">
        <v>362</v>
      </c>
      <c r="F13" s="12" t="s">
        <v>233</v>
      </c>
      <c r="G13" s="12" t="s">
        <v>363</v>
      </c>
    </row>
    <row r="14" spans="1:7" ht="29.25" customHeight="1">
      <c r="A14" s="11" t="s">
        <v>364</v>
      </c>
      <c r="B14" s="11" t="s">
        <v>109</v>
      </c>
      <c r="C14" s="14" t="s">
        <v>365</v>
      </c>
      <c r="D14" s="14" t="s">
        <v>366</v>
      </c>
      <c r="E14" s="13" t="s">
        <v>367</v>
      </c>
      <c r="F14" s="12" t="s">
        <v>233</v>
      </c>
      <c r="G14" s="12" t="s">
        <v>328</v>
      </c>
    </row>
    <row r="15" spans="1:7" ht="15" customHeight="1">
      <c r="A15" s="11" t="s">
        <v>368</v>
      </c>
      <c r="B15" s="11" t="s">
        <v>113</v>
      </c>
      <c r="C15" s="13" t="s">
        <v>369</v>
      </c>
      <c r="D15" s="14" t="s">
        <v>370</v>
      </c>
      <c r="E15" s="13" t="s">
        <v>371</v>
      </c>
      <c r="F15" s="12" t="s">
        <v>229</v>
      </c>
      <c r="G15" s="12" t="s">
        <v>328</v>
      </c>
    </row>
    <row r="16" spans="1:7" ht="15" customHeight="1">
      <c r="A16" s="11" t="s">
        <v>372</v>
      </c>
      <c r="B16" s="11" t="s">
        <v>117</v>
      </c>
      <c r="C16" s="13" t="s">
        <v>373</v>
      </c>
      <c r="D16" s="13" t="s">
        <v>374</v>
      </c>
      <c r="E16" s="13" t="s">
        <v>375</v>
      </c>
      <c r="F16" s="12" t="s">
        <v>229</v>
      </c>
      <c r="G16" s="12" t="s">
        <v>328</v>
      </c>
    </row>
    <row r="17" spans="1:7" ht="29.25" customHeight="1">
      <c r="A17" s="11" t="s">
        <v>376</v>
      </c>
      <c r="B17" s="11" t="s">
        <v>125</v>
      </c>
      <c r="C17" s="13" t="s">
        <v>126</v>
      </c>
      <c r="D17" s="14" t="s">
        <v>377</v>
      </c>
      <c r="E17" s="13" t="s">
        <v>378</v>
      </c>
      <c r="F17" s="12" t="s">
        <v>229</v>
      </c>
      <c r="G17" s="12" t="s">
        <v>328</v>
      </c>
    </row>
  </sheetData>
  <phoneticPr fontId="16"/>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
  <sheetViews>
    <sheetView zoomScaleNormal="100" workbookViewId="0">
      <pane ySplit="4" topLeftCell="A5" activePane="bottomLeft" state="frozen"/>
      <selection pane="bottomLeft"/>
    </sheetView>
  </sheetViews>
  <sheetFormatPr defaultColWidth="8.6328125" defaultRowHeight="14.5"/>
  <cols>
    <col min="1" max="1" width="10" customWidth="1"/>
    <col min="2" max="2" width="24" customWidth="1"/>
    <col min="3" max="3" width="16" customWidth="1"/>
    <col min="4" max="4" width="14" customWidth="1"/>
    <col min="5" max="5" width="16" customWidth="1"/>
    <col min="6" max="6" width="46" customWidth="1"/>
  </cols>
  <sheetData>
    <row r="1" spans="1:6" ht="17.25" customHeight="1">
      <c r="A1" s="1" t="s">
        <v>379</v>
      </c>
    </row>
    <row r="2" spans="1:6" ht="15" customHeight="1">
      <c r="A2" s="15" t="s">
        <v>380</v>
      </c>
    </row>
    <row r="4" spans="1:6" ht="26.25" customHeight="1">
      <c r="A4" s="10" t="s">
        <v>44</v>
      </c>
      <c r="B4" s="10" t="s">
        <v>381</v>
      </c>
      <c r="C4" s="10" t="s">
        <v>382</v>
      </c>
      <c r="D4" s="17" t="s">
        <v>383</v>
      </c>
      <c r="E4" s="10" t="s">
        <v>384</v>
      </c>
      <c r="F4" s="10" t="s">
        <v>385</v>
      </c>
    </row>
    <row r="5" spans="1:6" ht="15" customHeight="1">
      <c r="A5" s="11" t="s">
        <v>52</v>
      </c>
      <c r="B5" s="13" t="s">
        <v>386</v>
      </c>
      <c r="C5" s="11" t="s">
        <v>58</v>
      </c>
      <c r="D5" s="11" t="s">
        <v>387</v>
      </c>
      <c r="E5" s="11" t="s">
        <v>324</v>
      </c>
      <c r="F5" s="28" t="s">
        <v>388</v>
      </c>
    </row>
    <row r="6" spans="1:6" ht="15" customHeight="1">
      <c r="A6" s="11" t="s">
        <v>62</v>
      </c>
      <c r="B6" s="13" t="s">
        <v>330</v>
      </c>
      <c r="C6" s="11" t="s">
        <v>67</v>
      </c>
      <c r="D6" s="11" t="s">
        <v>387</v>
      </c>
      <c r="E6" s="11" t="s">
        <v>329</v>
      </c>
      <c r="F6" s="28" t="s">
        <v>388</v>
      </c>
    </row>
    <row r="7" spans="1:6" ht="15" customHeight="1">
      <c r="A7" s="11" t="s">
        <v>68</v>
      </c>
      <c r="B7" s="13" t="s">
        <v>389</v>
      </c>
      <c r="C7" s="11" t="s">
        <v>67</v>
      </c>
      <c r="D7" s="11" t="s">
        <v>70</v>
      </c>
      <c r="E7" s="11" t="s">
        <v>348</v>
      </c>
      <c r="F7" s="28" t="s">
        <v>388</v>
      </c>
    </row>
    <row r="8" spans="1:6" ht="29.25" customHeight="1">
      <c r="A8" s="11" t="s">
        <v>71</v>
      </c>
      <c r="B8" s="13" t="s">
        <v>390</v>
      </c>
      <c r="C8" s="11" t="s">
        <v>75</v>
      </c>
      <c r="D8" s="11" t="s">
        <v>79</v>
      </c>
      <c r="E8" s="11" t="s">
        <v>333</v>
      </c>
      <c r="F8" s="29" t="s">
        <v>391</v>
      </c>
    </row>
    <row r="9" spans="1:6" ht="15" customHeight="1">
      <c r="A9" s="11" t="s">
        <v>76</v>
      </c>
      <c r="B9" s="13" t="s">
        <v>392</v>
      </c>
      <c r="C9" s="11" t="s">
        <v>75</v>
      </c>
      <c r="D9" s="11" t="s">
        <v>79</v>
      </c>
      <c r="E9" s="11" t="s">
        <v>333</v>
      </c>
      <c r="F9" s="29" t="s">
        <v>393</v>
      </c>
    </row>
    <row r="10" spans="1:6" ht="29.25" customHeight="1">
      <c r="A10" s="11" t="s">
        <v>80</v>
      </c>
      <c r="B10" s="13" t="s">
        <v>394</v>
      </c>
      <c r="C10" s="11" t="s">
        <v>84</v>
      </c>
      <c r="D10" s="11" t="s">
        <v>87</v>
      </c>
      <c r="E10" s="11" t="s">
        <v>338</v>
      </c>
      <c r="F10" s="30" t="s">
        <v>395</v>
      </c>
    </row>
    <row r="11" spans="1:6" ht="15" customHeight="1">
      <c r="A11" s="11" t="s">
        <v>85</v>
      </c>
      <c r="B11" s="13" t="s">
        <v>396</v>
      </c>
      <c r="C11" s="11" t="s">
        <v>84</v>
      </c>
      <c r="D11" s="11" t="s">
        <v>87</v>
      </c>
      <c r="E11" s="11" t="s">
        <v>338</v>
      </c>
      <c r="F11" s="30" t="s">
        <v>397</v>
      </c>
    </row>
    <row r="12" spans="1:6" ht="15" customHeight="1">
      <c r="A12" s="11" t="s">
        <v>88</v>
      </c>
      <c r="B12" s="13" t="s">
        <v>345</v>
      </c>
      <c r="C12" s="11" t="s">
        <v>84</v>
      </c>
      <c r="D12" s="11" t="s">
        <v>87</v>
      </c>
      <c r="E12" s="11" t="s">
        <v>343</v>
      </c>
      <c r="F12" s="28" t="s">
        <v>398</v>
      </c>
    </row>
    <row r="13" spans="1:6" ht="15" customHeight="1">
      <c r="A13" s="11" t="s">
        <v>93</v>
      </c>
      <c r="B13" s="13" t="s">
        <v>399</v>
      </c>
      <c r="C13" s="11" t="s">
        <v>97</v>
      </c>
      <c r="D13" s="11" t="s">
        <v>387</v>
      </c>
      <c r="E13" s="11" t="s">
        <v>352</v>
      </c>
      <c r="F13" s="28" t="s">
        <v>388</v>
      </c>
    </row>
    <row r="14" spans="1:6" ht="15" customHeight="1">
      <c r="A14" s="11" t="s">
        <v>98</v>
      </c>
      <c r="B14" s="13" t="s">
        <v>99</v>
      </c>
      <c r="C14" s="11" t="s">
        <v>102</v>
      </c>
      <c r="D14" s="11" t="s">
        <v>387</v>
      </c>
      <c r="E14" s="11" t="s">
        <v>356</v>
      </c>
      <c r="F14" s="28" t="s">
        <v>388</v>
      </c>
    </row>
    <row r="15" spans="1:6" ht="15" customHeight="1">
      <c r="A15" s="11" t="s">
        <v>103</v>
      </c>
      <c r="B15" s="13" t="s">
        <v>400</v>
      </c>
      <c r="C15" s="11" t="s">
        <v>75</v>
      </c>
      <c r="D15" s="11" t="s">
        <v>387</v>
      </c>
      <c r="E15" s="31" t="s">
        <v>401</v>
      </c>
      <c r="F15" s="32" t="s">
        <v>402</v>
      </c>
    </row>
    <row r="16" spans="1:6" ht="15" customHeight="1">
      <c r="A16" s="11" t="s">
        <v>109</v>
      </c>
      <c r="B16" s="14" t="s">
        <v>403</v>
      </c>
      <c r="C16" s="11" t="s">
        <v>387</v>
      </c>
      <c r="D16" s="11" t="s">
        <v>70</v>
      </c>
      <c r="E16" s="11" t="s">
        <v>364</v>
      </c>
      <c r="F16" s="28" t="s">
        <v>388</v>
      </c>
    </row>
    <row r="17" spans="1:6" ht="15" customHeight="1">
      <c r="A17" s="11" t="s">
        <v>113</v>
      </c>
      <c r="B17" s="13" t="s">
        <v>404</v>
      </c>
      <c r="C17" s="11" t="s">
        <v>387</v>
      </c>
      <c r="D17" s="11" t="s">
        <v>116</v>
      </c>
      <c r="E17" s="11" t="s">
        <v>368</v>
      </c>
      <c r="F17" s="28" t="s">
        <v>388</v>
      </c>
    </row>
    <row r="18" spans="1:6" ht="15" customHeight="1">
      <c r="A18" s="11" t="s">
        <v>117</v>
      </c>
      <c r="B18" s="13" t="s">
        <v>405</v>
      </c>
      <c r="C18" s="11" t="s">
        <v>121</v>
      </c>
      <c r="D18" s="11" t="s">
        <v>387</v>
      </c>
      <c r="E18" s="11" t="s">
        <v>372</v>
      </c>
      <c r="F18" s="28" t="s">
        <v>388</v>
      </c>
    </row>
    <row r="19" spans="1:6" ht="29.25" customHeight="1">
      <c r="A19" s="11" t="s">
        <v>122</v>
      </c>
      <c r="B19" s="13" t="s">
        <v>406</v>
      </c>
      <c r="C19" s="11" t="s">
        <v>84</v>
      </c>
      <c r="D19" s="11" t="s">
        <v>87</v>
      </c>
      <c r="E19" s="12" t="s">
        <v>407</v>
      </c>
      <c r="F19" s="29" t="s">
        <v>408</v>
      </c>
    </row>
    <row r="20" spans="1:6" ht="15" customHeight="1">
      <c r="A20" s="11" t="s">
        <v>125</v>
      </c>
      <c r="B20" s="13" t="s">
        <v>126</v>
      </c>
      <c r="C20" s="11" t="s">
        <v>387</v>
      </c>
      <c r="D20" s="11" t="s">
        <v>129</v>
      </c>
      <c r="E20" s="11" t="s">
        <v>376</v>
      </c>
      <c r="F20" s="28" t="s">
        <v>388</v>
      </c>
    </row>
    <row r="22" spans="1:6" ht="26.25" customHeight="1">
      <c r="A22" s="34" t="s">
        <v>409</v>
      </c>
      <c r="B22" s="34"/>
      <c r="C22" s="34"/>
      <c r="D22" s="34"/>
      <c r="E22" s="34"/>
      <c r="F22" s="34"/>
    </row>
  </sheetData>
  <mergeCells count="1">
    <mergeCell ref="A22:F22"/>
  </mergeCells>
  <phoneticPr fontId="16"/>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00_プロジェクト概要</vt:lpstr>
      <vt:lpstr>01_要求一覧</vt:lpstr>
      <vt:lpstr>02_仕様書索引</vt:lpstr>
      <vt:lpstr>03_WBSスケジュール</vt:lpstr>
      <vt:lpstr>04_見積実績_過去機種</vt:lpstr>
      <vt:lpstr>05_見積_新規案件</vt:lpstr>
      <vt:lpstr>06_不具合票_過去機種</vt:lpstr>
      <vt:lpstr>07_テストケース一覧</vt:lpstr>
      <vt:lpstr>08_トレーサビリティ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太郎 吉田</cp:lastModifiedBy>
  <cp:revision>0</cp:revision>
  <dcterms:created xsi:type="dcterms:W3CDTF">2026-08-14T05:43:19Z</dcterms:created>
  <dcterms:modified xsi:type="dcterms:W3CDTF">2026-08-15T02:34:53Z</dcterms:modified>
  <dc:language>en-US</dc:language>
</cp:coreProperties>
</file>